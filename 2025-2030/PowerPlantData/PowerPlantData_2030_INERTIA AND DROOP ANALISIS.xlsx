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PowerPlantData\"/>
    </mc:Choice>
  </mc:AlternateContent>
  <xr:revisionPtr revIDLastSave="0" documentId="13_ncr:1_{3CCA9698-5B87-4163-9629-1BD77BB091C9}" xr6:coauthVersionLast="47" xr6:coauthVersionMax="47" xr10:uidLastSave="{00000000-0000-0000-0000-000000000000}"/>
  <bookViews>
    <workbookView xWindow="-108" yWindow="-108" windowWidth="23256" windowHeight="12576" xr2:uid="{8D3E2109-251E-4E36-8D59-D5C1E9C69D10}"/>
  </bookViews>
  <sheets>
    <sheet name="PowerPlantData_2030_0" sheetId="1" r:id="rId1"/>
  </sheets>
  <definedNames>
    <definedName name="_xlnm._FilterDatabase" localSheetId="0" hidden="1">PowerPlantData_2030_0!$A$1:$AA$155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5" i="1" l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G2" i="1"/>
  <c r="AG3" i="1"/>
  <c r="AH3" i="1" s="1"/>
  <c r="AI3" i="1" s="1"/>
  <c r="AG4" i="1"/>
  <c r="AH4" i="1" s="1"/>
  <c r="AI4" i="1" s="1"/>
  <c r="AG5" i="1"/>
  <c r="AH5" i="1" s="1"/>
  <c r="AI5" i="1" s="1"/>
  <c r="AG6" i="1"/>
  <c r="AH6" i="1" s="1"/>
  <c r="AI6" i="1" s="1"/>
  <c r="AG7" i="1"/>
  <c r="AH7" i="1" s="1"/>
  <c r="AI7" i="1" s="1"/>
  <c r="AG8" i="1"/>
  <c r="AH8" i="1" s="1"/>
  <c r="AI8" i="1" s="1"/>
  <c r="AG9" i="1"/>
  <c r="AH9" i="1" s="1"/>
  <c r="AI9" i="1" s="1"/>
  <c r="AG10" i="1"/>
  <c r="AH10" i="1" s="1"/>
  <c r="AI10" i="1" s="1"/>
  <c r="AG11" i="1"/>
  <c r="AH11" i="1" s="1"/>
  <c r="AI11" i="1" s="1"/>
  <c r="AG12" i="1"/>
  <c r="AH12" i="1" s="1"/>
  <c r="AI12" i="1" s="1"/>
  <c r="AG13" i="1"/>
  <c r="AH13" i="1" s="1"/>
  <c r="AI13" i="1" s="1"/>
  <c r="AG14" i="1"/>
  <c r="AH14" i="1" s="1"/>
  <c r="AI14" i="1" s="1"/>
  <c r="AG15" i="1"/>
  <c r="AH15" i="1" s="1"/>
  <c r="AI15" i="1" s="1"/>
  <c r="AG16" i="1"/>
  <c r="AH16" i="1" s="1"/>
  <c r="AI16" i="1" s="1"/>
  <c r="AG17" i="1"/>
  <c r="AH17" i="1" s="1"/>
  <c r="AI17" i="1" s="1"/>
  <c r="AG18" i="1"/>
  <c r="AH18" i="1" s="1"/>
  <c r="AI18" i="1" s="1"/>
  <c r="AG19" i="1"/>
  <c r="AH19" i="1" s="1"/>
  <c r="AI19" i="1" s="1"/>
  <c r="AG20" i="1"/>
  <c r="AH20" i="1" s="1"/>
  <c r="AI20" i="1" s="1"/>
  <c r="AG21" i="1"/>
  <c r="AH21" i="1" s="1"/>
  <c r="AI21" i="1" s="1"/>
  <c r="AG22" i="1"/>
  <c r="AH22" i="1" s="1"/>
  <c r="AI22" i="1" s="1"/>
  <c r="AG23" i="1"/>
  <c r="AH23" i="1" s="1"/>
  <c r="AI23" i="1" s="1"/>
  <c r="AG24" i="1"/>
  <c r="AH24" i="1" s="1"/>
  <c r="AI24" i="1" s="1"/>
  <c r="AG25" i="1"/>
  <c r="AH25" i="1" s="1"/>
  <c r="AI25" i="1" s="1"/>
  <c r="AG26" i="1"/>
  <c r="AH26" i="1" s="1"/>
  <c r="AI26" i="1" s="1"/>
  <c r="AG27" i="1"/>
  <c r="AH27" i="1" s="1"/>
  <c r="AI27" i="1" s="1"/>
  <c r="AG28" i="1"/>
  <c r="AH28" i="1" s="1"/>
  <c r="AI28" i="1" s="1"/>
  <c r="AG29" i="1"/>
  <c r="AH29" i="1" s="1"/>
  <c r="AI29" i="1" s="1"/>
  <c r="AG30" i="1"/>
  <c r="AH30" i="1" s="1"/>
  <c r="AI30" i="1" s="1"/>
  <c r="AG31" i="1"/>
  <c r="AH31" i="1" s="1"/>
  <c r="AI31" i="1" s="1"/>
  <c r="AG32" i="1"/>
  <c r="AH32" i="1" s="1"/>
  <c r="AI32" i="1" s="1"/>
  <c r="AG33" i="1"/>
  <c r="AH33" i="1" s="1"/>
  <c r="AI33" i="1" s="1"/>
  <c r="AG34" i="1"/>
  <c r="AH34" i="1" s="1"/>
  <c r="AI34" i="1" s="1"/>
  <c r="AG35" i="1"/>
  <c r="AH35" i="1" s="1"/>
  <c r="AI35" i="1" s="1"/>
  <c r="AG36" i="1"/>
  <c r="AH36" i="1" s="1"/>
  <c r="AI36" i="1" s="1"/>
  <c r="AG37" i="1"/>
  <c r="AH37" i="1" s="1"/>
  <c r="AI37" i="1" s="1"/>
  <c r="AG38" i="1"/>
  <c r="AH38" i="1" s="1"/>
  <c r="AI38" i="1" s="1"/>
  <c r="AG39" i="1"/>
  <c r="AH39" i="1" s="1"/>
  <c r="AI39" i="1" s="1"/>
  <c r="AG40" i="1"/>
  <c r="AH40" i="1" s="1"/>
  <c r="AI40" i="1" s="1"/>
  <c r="AG41" i="1"/>
  <c r="AH41" i="1" s="1"/>
  <c r="AI41" i="1" s="1"/>
  <c r="AG42" i="1"/>
  <c r="AH42" i="1" s="1"/>
  <c r="AI42" i="1" s="1"/>
  <c r="AG43" i="1"/>
  <c r="AH43" i="1" s="1"/>
  <c r="AI43" i="1" s="1"/>
  <c r="AG44" i="1"/>
  <c r="AH44" i="1" s="1"/>
  <c r="AI44" i="1" s="1"/>
  <c r="AG45" i="1"/>
  <c r="AH45" i="1" s="1"/>
  <c r="AI45" i="1" s="1"/>
  <c r="AG46" i="1"/>
  <c r="AH46" i="1" s="1"/>
  <c r="AI46" i="1" s="1"/>
  <c r="AG47" i="1"/>
  <c r="AH47" i="1" s="1"/>
  <c r="AI47" i="1" s="1"/>
  <c r="AG48" i="1"/>
  <c r="AH48" i="1" s="1"/>
  <c r="AI48" i="1" s="1"/>
  <c r="AG49" i="1"/>
  <c r="AH49" i="1" s="1"/>
  <c r="AI49" i="1" s="1"/>
  <c r="AG50" i="1"/>
  <c r="AH50" i="1" s="1"/>
  <c r="AI50" i="1" s="1"/>
  <c r="AG51" i="1"/>
  <c r="AH51" i="1" s="1"/>
  <c r="AI51" i="1" s="1"/>
  <c r="AG52" i="1"/>
  <c r="AH52" i="1" s="1"/>
  <c r="AI52" i="1" s="1"/>
  <c r="AG53" i="1"/>
  <c r="AH53" i="1" s="1"/>
  <c r="AI53" i="1" s="1"/>
  <c r="AG54" i="1"/>
  <c r="AH54" i="1" s="1"/>
  <c r="AI54" i="1" s="1"/>
  <c r="AG55" i="1"/>
  <c r="AH55" i="1" s="1"/>
  <c r="AI55" i="1" s="1"/>
  <c r="AG56" i="1"/>
  <c r="AH56" i="1" s="1"/>
  <c r="AI56" i="1" s="1"/>
  <c r="AG57" i="1"/>
  <c r="AH57" i="1" s="1"/>
  <c r="AI57" i="1" s="1"/>
  <c r="AG58" i="1"/>
  <c r="AH58" i="1" s="1"/>
  <c r="AI58" i="1" s="1"/>
  <c r="AG59" i="1"/>
  <c r="AH59" i="1" s="1"/>
  <c r="AI59" i="1" s="1"/>
  <c r="AG60" i="1"/>
  <c r="AH60" i="1" s="1"/>
  <c r="AI60" i="1" s="1"/>
  <c r="AG61" i="1"/>
  <c r="AH61" i="1" s="1"/>
  <c r="AI61" i="1" s="1"/>
  <c r="AG62" i="1"/>
  <c r="AH62" i="1" s="1"/>
  <c r="AI62" i="1" s="1"/>
  <c r="AG63" i="1"/>
  <c r="AH63" i="1" s="1"/>
  <c r="AI63" i="1" s="1"/>
  <c r="AG64" i="1"/>
  <c r="AH64" i="1" s="1"/>
  <c r="AI64" i="1" s="1"/>
  <c r="AG65" i="1"/>
  <c r="AH65" i="1" s="1"/>
  <c r="AI65" i="1" s="1"/>
  <c r="AG66" i="1"/>
  <c r="AH66" i="1" s="1"/>
  <c r="AI66" i="1" s="1"/>
  <c r="AG67" i="1"/>
  <c r="AH67" i="1" s="1"/>
  <c r="AI67" i="1" s="1"/>
  <c r="AG68" i="1"/>
  <c r="AH68" i="1" s="1"/>
  <c r="AI68" i="1" s="1"/>
  <c r="AG69" i="1"/>
  <c r="AH69" i="1" s="1"/>
  <c r="AI69" i="1" s="1"/>
  <c r="AG70" i="1"/>
  <c r="AH70" i="1" s="1"/>
  <c r="AI70" i="1" s="1"/>
  <c r="AG71" i="1"/>
  <c r="AH71" i="1" s="1"/>
  <c r="AI71" i="1" s="1"/>
  <c r="AG72" i="1"/>
  <c r="AH72" i="1" s="1"/>
  <c r="AI72" i="1" s="1"/>
  <c r="AG73" i="1"/>
  <c r="AH73" i="1" s="1"/>
  <c r="AI73" i="1" s="1"/>
  <c r="AG74" i="1"/>
  <c r="AH74" i="1" s="1"/>
  <c r="AI74" i="1" s="1"/>
  <c r="AG75" i="1"/>
  <c r="AH75" i="1" s="1"/>
  <c r="AI75" i="1" s="1"/>
  <c r="AG76" i="1"/>
  <c r="AH76" i="1" s="1"/>
  <c r="AI76" i="1" s="1"/>
  <c r="AG77" i="1"/>
  <c r="AH77" i="1" s="1"/>
  <c r="AI77" i="1" s="1"/>
  <c r="AG78" i="1"/>
  <c r="AH78" i="1" s="1"/>
  <c r="AI78" i="1" s="1"/>
  <c r="AG79" i="1"/>
  <c r="AH79" i="1" s="1"/>
  <c r="AI79" i="1" s="1"/>
  <c r="AG80" i="1"/>
  <c r="AH80" i="1" s="1"/>
  <c r="AI80" i="1" s="1"/>
  <c r="AG81" i="1"/>
  <c r="AH81" i="1" s="1"/>
  <c r="AI81" i="1" s="1"/>
  <c r="AG82" i="1"/>
  <c r="AH82" i="1" s="1"/>
  <c r="AI82" i="1" s="1"/>
  <c r="AG83" i="1"/>
  <c r="AH83" i="1" s="1"/>
  <c r="AI83" i="1" s="1"/>
  <c r="AG84" i="1"/>
  <c r="AH84" i="1" s="1"/>
  <c r="AI84" i="1" s="1"/>
  <c r="AG85" i="1"/>
  <c r="AH85" i="1" s="1"/>
  <c r="AI85" i="1" s="1"/>
  <c r="AG86" i="1"/>
  <c r="AH86" i="1" s="1"/>
  <c r="AI86" i="1" s="1"/>
  <c r="AG87" i="1"/>
  <c r="AH87" i="1" s="1"/>
  <c r="AI87" i="1" s="1"/>
  <c r="AG88" i="1"/>
  <c r="AH88" i="1" s="1"/>
  <c r="AI88" i="1" s="1"/>
  <c r="AG89" i="1"/>
  <c r="AH89" i="1" s="1"/>
  <c r="AI89" i="1" s="1"/>
  <c r="AG90" i="1"/>
  <c r="AH90" i="1" s="1"/>
  <c r="AI90" i="1" s="1"/>
  <c r="AG91" i="1"/>
  <c r="AH91" i="1" s="1"/>
  <c r="AI91" i="1" s="1"/>
  <c r="AG92" i="1"/>
  <c r="AH92" i="1" s="1"/>
  <c r="AI92" i="1" s="1"/>
  <c r="AG93" i="1"/>
  <c r="AH93" i="1" s="1"/>
  <c r="AI93" i="1" s="1"/>
  <c r="AG94" i="1"/>
  <c r="AH94" i="1" s="1"/>
  <c r="AI94" i="1" s="1"/>
  <c r="AG95" i="1"/>
  <c r="AH95" i="1" s="1"/>
  <c r="AI95" i="1" s="1"/>
  <c r="AG96" i="1"/>
  <c r="AH96" i="1" s="1"/>
  <c r="AI96" i="1" s="1"/>
  <c r="AG97" i="1"/>
  <c r="AH97" i="1" s="1"/>
  <c r="AI97" i="1" s="1"/>
  <c r="AG98" i="1"/>
  <c r="AH98" i="1" s="1"/>
  <c r="AI98" i="1" s="1"/>
  <c r="AG99" i="1"/>
  <c r="AH99" i="1" s="1"/>
  <c r="AI99" i="1" s="1"/>
  <c r="AG100" i="1"/>
  <c r="AH100" i="1" s="1"/>
  <c r="AI100" i="1" s="1"/>
  <c r="AG101" i="1"/>
  <c r="AH101" i="1" s="1"/>
  <c r="AI101" i="1" s="1"/>
  <c r="AG102" i="1"/>
  <c r="AH102" i="1" s="1"/>
  <c r="AI102" i="1" s="1"/>
  <c r="AG103" i="1"/>
  <c r="AH103" i="1" s="1"/>
  <c r="AI103" i="1" s="1"/>
  <c r="AG104" i="1"/>
  <c r="AH104" i="1" s="1"/>
  <c r="AI104" i="1" s="1"/>
  <c r="AG105" i="1"/>
  <c r="AH105" i="1" s="1"/>
  <c r="AI105" i="1" s="1"/>
  <c r="AG106" i="1"/>
  <c r="AH106" i="1" s="1"/>
  <c r="AI106" i="1" s="1"/>
  <c r="AG107" i="1"/>
  <c r="AH107" i="1" s="1"/>
  <c r="AI107" i="1" s="1"/>
  <c r="AG108" i="1"/>
  <c r="AH108" i="1" s="1"/>
  <c r="AI108" i="1" s="1"/>
  <c r="AG109" i="1"/>
  <c r="AH109" i="1" s="1"/>
  <c r="AI109" i="1" s="1"/>
  <c r="AG110" i="1"/>
  <c r="AH110" i="1" s="1"/>
  <c r="AI110" i="1" s="1"/>
  <c r="AG111" i="1"/>
  <c r="AH111" i="1" s="1"/>
  <c r="AI111" i="1" s="1"/>
  <c r="AG112" i="1"/>
  <c r="AH112" i="1" s="1"/>
  <c r="AI112" i="1" s="1"/>
  <c r="AG113" i="1"/>
  <c r="AH113" i="1" s="1"/>
  <c r="AI113" i="1" s="1"/>
  <c r="AG114" i="1"/>
  <c r="AH114" i="1" s="1"/>
  <c r="AI114" i="1" s="1"/>
  <c r="AG115" i="1"/>
  <c r="AH115" i="1" s="1"/>
  <c r="AI115" i="1" s="1"/>
  <c r="AG116" i="1"/>
  <c r="AH116" i="1" s="1"/>
  <c r="AI116" i="1" s="1"/>
  <c r="AG117" i="1"/>
  <c r="AH117" i="1" s="1"/>
  <c r="AI117" i="1" s="1"/>
  <c r="AG118" i="1"/>
  <c r="AH118" i="1" s="1"/>
  <c r="AI118" i="1" s="1"/>
  <c r="AG119" i="1"/>
  <c r="AH119" i="1" s="1"/>
  <c r="AI119" i="1" s="1"/>
  <c r="AG120" i="1"/>
  <c r="AH120" i="1" s="1"/>
  <c r="AI120" i="1" s="1"/>
  <c r="AG121" i="1"/>
  <c r="AH121" i="1" s="1"/>
  <c r="AI121" i="1" s="1"/>
  <c r="AG122" i="1"/>
  <c r="AH122" i="1" s="1"/>
  <c r="AI122" i="1" s="1"/>
  <c r="AG123" i="1"/>
  <c r="AH123" i="1" s="1"/>
  <c r="AI123" i="1" s="1"/>
  <c r="AG124" i="1"/>
  <c r="AH124" i="1" s="1"/>
  <c r="AI124" i="1" s="1"/>
  <c r="AG125" i="1"/>
  <c r="AH125" i="1" s="1"/>
  <c r="AI125" i="1" s="1"/>
  <c r="AG126" i="1"/>
  <c r="AH126" i="1" s="1"/>
  <c r="AI126" i="1" s="1"/>
  <c r="AG127" i="1"/>
  <c r="AH127" i="1" s="1"/>
  <c r="AI127" i="1" s="1"/>
  <c r="AG128" i="1"/>
  <c r="AH128" i="1" s="1"/>
  <c r="AI128" i="1" s="1"/>
  <c r="AG129" i="1"/>
  <c r="AH129" i="1" s="1"/>
  <c r="AI129" i="1" s="1"/>
  <c r="AG130" i="1"/>
  <c r="AH130" i="1" s="1"/>
  <c r="AI130" i="1" s="1"/>
  <c r="AG131" i="1"/>
  <c r="AH131" i="1" s="1"/>
  <c r="AI131" i="1" s="1"/>
  <c r="AG132" i="1"/>
  <c r="AH132" i="1" s="1"/>
  <c r="AI132" i="1" s="1"/>
  <c r="AG133" i="1"/>
  <c r="AH133" i="1" s="1"/>
  <c r="AI133" i="1" s="1"/>
  <c r="AG134" i="1"/>
  <c r="AH134" i="1" s="1"/>
  <c r="AI134" i="1" s="1"/>
  <c r="AG135" i="1"/>
  <c r="AH135" i="1" s="1"/>
  <c r="AI135" i="1" s="1"/>
  <c r="AH2" i="1"/>
  <c r="AI2" i="1" s="1"/>
  <c r="AE2" i="1" l="1"/>
  <c r="AJ2" i="1"/>
</calcChain>
</file>

<file path=xl/sharedStrings.xml><?xml version="1.0" encoding="utf-8"?>
<sst xmlns="http://schemas.openxmlformats.org/spreadsheetml/2006/main" count="648" uniqueCount="200">
  <si>
    <t>PowerCapacity</t>
  </si>
  <si>
    <t>Unit</t>
  </si>
  <si>
    <t>Zone</t>
  </si>
  <si>
    <t>Technology</t>
  </si>
  <si>
    <t>Fuel</t>
  </si>
  <si>
    <t>Efficiency</t>
  </si>
  <si>
    <t>MinUpTime</t>
  </si>
  <si>
    <t>MinDownTime</t>
  </si>
  <si>
    <t>RampUpRate</t>
  </si>
  <si>
    <t>RampDownRate</t>
  </si>
  <si>
    <t>StartUpCost</t>
  </si>
  <si>
    <t>NoLoadCost</t>
  </si>
  <si>
    <t>RampingCost</t>
  </si>
  <si>
    <t>PartLoadMin</t>
  </si>
  <si>
    <t>MinEfficiency</t>
  </si>
  <si>
    <t>StartUpTime</t>
  </si>
  <si>
    <t>CO2Intensity</t>
  </si>
  <si>
    <t>CHPType</t>
  </si>
  <si>
    <t>CHPPowerToHeat</t>
  </si>
  <si>
    <t>STOCapacity</t>
  </si>
  <si>
    <t>STOSelfDischarge</t>
  </si>
  <si>
    <t>STOMaxChargingPower</t>
  </si>
  <si>
    <t>STOChargingEfficiency</t>
  </si>
  <si>
    <t>Nunits</t>
  </si>
  <si>
    <t>InertiaConstant</t>
  </si>
  <si>
    <t>Droop</t>
  </si>
  <si>
    <t>SIS</t>
  </si>
  <si>
    <t>CE</t>
  </si>
  <si>
    <t>HDAM</t>
  </si>
  <si>
    <t>WAT</t>
  </si>
  <si>
    <t>COR</t>
  </si>
  <si>
    <t>KAN</t>
  </si>
  <si>
    <t>MIG</t>
  </si>
  <si>
    <t>ANG</t>
  </si>
  <si>
    <t>CHO</t>
  </si>
  <si>
    <t>CRB</t>
  </si>
  <si>
    <t>ZON</t>
  </si>
  <si>
    <t>NO</t>
  </si>
  <si>
    <t>TIQ</t>
  </si>
  <si>
    <t>BOT</t>
  </si>
  <si>
    <t>CUT</t>
  </si>
  <si>
    <t>SRO01</t>
  </si>
  <si>
    <t>SRO02</t>
  </si>
  <si>
    <t>SAI</t>
  </si>
  <si>
    <t>CHU</t>
  </si>
  <si>
    <t>HAR</t>
  </si>
  <si>
    <t>CAH</t>
  </si>
  <si>
    <t>HUA</t>
  </si>
  <si>
    <t>CHJ</t>
  </si>
  <si>
    <t>YAN</t>
  </si>
  <si>
    <t>KIL</t>
  </si>
  <si>
    <t>SU</t>
  </si>
  <si>
    <t>LAN</t>
  </si>
  <si>
    <t>PUH</t>
  </si>
  <si>
    <t>QUE</t>
  </si>
  <si>
    <t>SJA</t>
  </si>
  <si>
    <t>MIS</t>
  </si>
  <si>
    <t>SJS</t>
  </si>
  <si>
    <t>SJE</t>
  </si>
  <si>
    <t>UMA</t>
  </si>
  <si>
    <t>PLD</t>
  </si>
  <si>
    <t>SEH</t>
  </si>
  <si>
    <t>JUN</t>
  </si>
  <si>
    <t>CON</t>
  </si>
  <si>
    <t>GCH01</t>
  </si>
  <si>
    <t>OR</t>
  </si>
  <si>
    <t>GTUR</t>
  </si>
  <si>
    <t>GAS</t>
  </si>
  <si>
    <t>GCH02</t>
  </si>
  <si>
    <t>GCH04</t>
  </si>
  <si>
    <t>GCH06</t>
  </si>
  <si>
    <t>SCZ01</t>
  </si>
  <si>
    <t>SCZ02</t>
  </si>
  <si>
    <t>GCH11</t>
  </si>
  <si>
    <t>GCH09COM</t>
  </si>
  <si>
    <t>GCH10COM</t>
  </si>
  <si>
    <t>GBE01</t>
  </si>
  <si>
    <t>BIO</t>
  </si>
  <si>
    <t>BUL01</t>
  </si>
  <si>
    <t>BUL02</t>
  </si>
  <si>
    <t>BUL03</t>
  </si>
  <si>
    <t>CAR01</t>
  </si>
  <si>
    <t>CAR02</t>
  </si>
  <si>
    <t>CAR03</t>
  </si>
  <si>
    <t>VHE01</t>
  </si>
  <si>
    <t>VHE02</t>
  </si>
  <si>
    <t>VHE03</t>
  </si>
  <si>
    <t>VHE04</t>
  </si>
  <si>
    <t>VHE05</t>
  </si>
  <si>
    <t>VHE06</t>
  </si>
  <si>
    <t>VHE07</t>
  </si>
  <si>
    <t>VHE08</t>
  </si>
  <si>
    <t>ARJ08</t>
  </si>
  <si>
    <t>ARJ09</t>
  </si>
  <si>
    <t>ARJ11</t>
  </si>
  <si>
    <t>ARJ12</t>
  </si>
  <si>
    <t>ARJ13</t>
  </si>
  <si>
    <t>ARJ14</t>
  </si>
  <si>
    <t>ARJ15</t>
  </si>
  <si>
    <t>ARJ01</t>
  </si>
  <si>
    <t>ARJ02</t>
  </si>
  <si>
    <t>ARJ03</t>
  </si>
  <si>
    <t>ERI11</t>
  </si>
  <si>
    <t>ERI12</t>
  </si>
  <si>
    <t>ERI21</t>
  </si>
  <si>
    <t>ERI22</t>
  </si>
  <si>
    <t>ALT01</t>
  </si>
  <si>
    <t>ALT02</t>
  </si>
  <si>
    <t>SUR11</t>
  </si>
  <si>
    <t>SUR12</t>
  </si>
  <si>
    <t>SUR21</t>
  </si>
  <si>
    <t>SUR22</t>
  </si>
  <si>
    <t>WAR11</t>
  </si>
  <si>
    <t>WAR12</t>
  </si>
  <si>
    <t>WAR21</t>
  </si>
  <si>
    <t>WAR22</t>
  </si>
  <si>
    <t>WAR51</t>
  </si>
  <si>
    <t>MOA02</t>
  </si>
  <si>
    <t>OIL</t>
  </si>
  <si>
    <t>MOA05</t>
  </si>
  <si>
    <t>MOA06</t>
  </si>
  <si>
    <t>MOA07</t>
  </si>
  <si>
    <t>MOA08</t>
  </si>
  <si>
    <t>SBO01</t>
  </si>
  <si>
    <t>SBO02</t>
  </si>
  <si>
    <t>RRE01</t>
  </si>
  <si>
    <t>RRE02</t>
  </si>
  <si>
    <t>YUC01</t>
  </si>
  <si>
    <t>SIM01</t>
  </si>
  <si>
    <t>SIM02</t>
  </si>
  <si>
    <t>SAY01</t>
  </si>
  <si>
    <t>SAY02</t>
  </si>
  <si>
    <t>UNA01</t>
  </si>
  <si>
    <t>SBU01</t>
  </si>
  <si>
    <t>CCWAR11</t>
  </si>
  <si>
    <t>CCWAR12</t>
  </si>
  <si>
    <t>CCWAR21</t>
  </si>
  <si>
    <t>CCWAR22</t>
  </si>
  <si>
    <t>CCWAR31</t>
  </si>
  <si>
    <t>CCWAR32</t>
  </si>
  <si>
    <t>CCWAR41</t>
  </si>
  <si>
    <t>CCWAR42</t>
  </si>
  <si>
    <t>CCWAR10</t>
  </si>
  <si>
    <t>CCWAR20</t>
  </si>
  <si>
    <t>CCWAR30</t>
  </si>
  <si>
    <t>CCWAR40</t>
  </si>
  <si>
    <t>CCSUR11</t>
  </si>
  <si>
    <t>CCSUR12</t>
  </si>
  <si>
    <t>CCSUR21</t>
  </si>
  <si>
    <t>CCSUR22</t>
  </si>
  <si>
    <t>CCSUR31</t>
  </si>
  <si>
    <t>CCSUR32</t>
  </si>
  <si>
    <t>CCSUR41</t>
  </si>
  <si>
    <t>CCSUR42</t>
  </si>
  <si>
    <t>CCSUR10</t>
  </si>
  <si>
    <t>CCSUR20</t>
  </si>
  <si>
    <t>CCSUR30</t>
  </si>
  <si>
    <t>CCSUR40</t>
  </si>
  <si>
    <t>CCERI31</t>
  </si>
  <si>
    <t>CCERI32</t>
  </si>
  <si>
    <t>CCERI41</t>
  </si>
  <si>
    <t>CCERI42</t>
  </si>
  <si>
    <t>CCERI51</t>
  </si>
  <si>
    <t>CCERI52</t>
  </si>
  <si>
    <t>CCERI30</t>
  </si>
  <si>
    <t>CCERI40</t>
  </si>
  <si>
    <t>CCERI50</t>
  </si>
  <si>
    <t>IAG01</t>
  </si>
  <si>
    <t>GCH0910COM</t>
  </si>
  <si>
    <t>AGU01</t>
  </si>
  <si>
    <t>QOL</t>
  </si>
  <si>
    <t>WTON</t>
  </si>
  <si>
    <t>WIN</t>
  </si>
  <si>
    <t>QOL2</t>
  </si>
  <si>
    <t>ORU</t>
  </si>
  <si>
    <t>PHOT</t>
  </si>
  <si>
    <t>SUN</t>
  </si>
  <si>
    <t>UYU</t>
  </si>
  <si>
    <t>YUN</t>
  </si>
  <si>
    <t>WAR1</t>
  </si>
  <si>
    <t>SJU</t>
  </si>
  <si>
    <t>EDO</t>
  </si>
  <si>
    <t>WAR2</t>
  </si>
  <si>
    <t>VEN</t>
  </si>
  <si>
    <t>ORU2</t>
  </si>
  <si>
    <t>SOLCB1</t>
  </si>
  <si>
    <t>SOLCB2</t>
  </si>
  <si>
    <t>SOLVIN</t>
  </si>
  <si>
    <t>SOLVIN1</t>
  </si>
  <si>
    <t>SOLSAN</t>
  </si>
  <si>
    <t>PESCZ</t>
  </si>
  <si>
    <t>PESCZ1</t>
  </si>
  <si>
    <t>PESCZ2</t>
  </si>
  <si>
    <t>EDO2</t>
  </si>
  <si>
    <t>Max_H</t>
  </si>
  <si>
    <t>Droop Hz</t>
  </si>
  <si>
    <t>Droop Hz/MW</t>
  </si>
  <si>
    <t>1/Droop</t>
  </si>
  <si>
    <t>Max_k</t>
  </si>
  <si>
    <t>LoadingFactor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</si>
</sst>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E7B7-CD77-47CB-86E8-C41ABAEE0429}">
  <dimension ref="A1:AJ155"/>
  <sheetViews>
    <sheetView tabSelected="1" workbookViewId="0">
      <selection activeCell="Z2" sqref="Z2"/>
    </sheetView>
  </sheetViews>
  <sheetFormatPr baseColWidth="10"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199</v>
      </c>
      <c r="AA1" t="s">
        <v>25</v>
      </c>
      <c r="AE1" t="s">
        <v>194</v>
      </c>
      <c r="AG1" t="s">
        <v>195</v>
      </c>
      <c r="AH1" t="s">
        <v>196</v>
      </c>
      <c r="AI1" t="s">
        <v>197</v>
      </c>
      <c r="AJ1" t="s">
        <v>198</v>
      </c>
    </row>
    <row r="2" spans="1:36" x14ac:dyDescent="0.3">
      <c r="A2">
        <v>91.11</v>
      </c>
      <c r="B2" t="s">
        <v>26</v>
      </c>
      <c r="C2" t="s">
        <v>27</v>
      </c>
      <c r="D2" t="s">
        <v>28</v>
      </c>
      <c r="E2" t="s">
        <v>29</v>
      </c>
      <c r="F2">
        <v>0.8</v>
      </c>
      <c r="G2">
        <v>0</v>
      </c>
      <c r="H2">
        <v>0</v>
      </c>
      <c r="I2">
        <v>6.6666669999999997E-2</v>
      </c>
      <c r="J2">
        <v>6.6666669999999997E-2</v>
      </c>
      <c r="K2">
        <v>0</v>
      </c>
      <c r="L2">
        <v>0</v>
      </c>
      <c r="M2">
        <v>0</v>
      </c>
      <c r="N2">
        <v>0.3</v>
      </c>
      <c r="O2">
        <v>1</v>
      </c>
      <c r="P2">
        <v>0</v>
      </c>
      <c r="Q2">
        <v>0</v>
      </c>
      <c r="T2">
        <v>153.72999999999999</v>
      </c>
      <c r="U2">
        <v>9.9999999999999995E-8</v>
      </c>
      <c r="V2">
        <v>0</v>
      </c>
      <c r="W2">
        <v>0.8</v>
      </c>
      <c r="X2">
        <v>1</v>
      </c>
      <c r="Y2">
        <v>3.7</v>
      </c>
      <c r="Z2">
        <v>0.56000000000000005</v>
      </c>
      <c r="AA2">
        <v>0.05</v>
      </c>
      <c r="AD2">
        <f>A2*Y2/(1000*Z2)</f>
        <v>0.60197678571428581</v>
      </c>
      <c r="AE2">
        <f>SUM(AD2:AD135)</f>
        <v>38.497705714285701</v>
      </c>
      <c r="AG2">
        <f>50*5/100</f>
        <v>2.5</v>
      </c>
      <c r="AH2">
        <f t="shared" ref="AH2:AH33" si="0">AG2/A2</f>
        <v>2.7439359016573375E-2</v>
      </c>
      <c r="AI2">
        <f>1/AH2</f>
        <v>36.443999999999996</v>
      </c>
      <c r="AJ2">
        <f>SUM(AI2:AI135)</f>
        <v>2234.8600000000019</v>
      </c>
    </row>
    <row r="3" spans="1:36" x14ac:dyDescent="0.3">
      <c r="A3">
        <v>65.25</v>
      </c>
      <c r="B3" t="s">
        <v>30</v>
      </c>
      <c r="C3" t="s">
        <v>27</v>
      </c>
      <c r="D3" t="s">
        <v>28</v>
      </c>
      <c r="E3" t="s">
        <v>29</v>
      </c>
      <c r="F3">
        <v>0.8</v>
      </c>
      <c r="G3">
        <v>0</v>
      </c>
      <c r="H3">
        <v>0</v>
      </c>
      <c r="I3">
        <v>6.6666669999999997E-2</v>
      </c>
      <c r="J3">
        <v>6.6666669999999997E-2</v>
      </c>
      <c r="K3">
        <v>0</v>
      </c>
      <c r="L3">
        <v>0</v>
      </c>
      <c r="M3">
        <v>0</v>
      </c>
      <c r="N3">
        <v>0.3</v>
      </c>
      <c r="O3">
        <v>1</v>
      </c>
      <c r="P3">
        <v>0</v>
      </c>
      <c r="Q3">
        <v>0</v>
      </c>
      <c r="T3">
        <v>193002.74</v>
      </c>
      <c r="U3">
        <v>4.9999999999999998E-7</v>
      </c>
      <c r="V3">
        <v>0</v>
      </c>
      <c r="W3">
        <v>0.8</v>
      </c>
      <c r="X3">
        <v>1</v>
      </c>
      <c r="Y3">
        <v>3.7</v>
      </c>
      <c r="Z3">
        <v>0.56000000000000005</v>
      </c>
      <c r="AA3">
        <v>0.05</v>
      </c>
      <c r="AD3">
        <f t="shared" ref="AD3:AD66" si="1">A3*Y3/(1000*Z3)</f>
        <v>0.43111607142857145</v>
      </c>
      <c r="AG3">
        <f t="shared" ref="AG3:AG66" si="2">50*5/100</f>
        <v>2.5</v>
      </c>
      <c r="AH3">
        <f t="shared" si="0"/>
        <v>3.8314176245210725E-2</v>
      </c>
      <c r="AI3">
        <f t="shared" ref="AI3:AI66" si="3">1/AH3</f>
        <v>26.1</v>
      </c>
    </row>
    <row r="4" spans="1:36" x14ac:dyDescent="0.3">
      <c r="A4">
        <v>7.54</v>
      </c>
      <c r="B4" t="s">
        <v>31</v>
      </c>
      <c r="C4" t="s">
        <v>27</v>
      </c>
      <c r="D4" t="s">
        <v>28</v>
      </c>
      <c r="E4" t="s">
        <v>29</v>
      </c>
      <c r="F4">
        <v>0.8</v>
      </c>
      <c r="G4">
        <v>0</v>
      </c>
      <c r="H4">
        <v>0</v>
      </c>
      <c r="I4">
        <v>6.6666669999999997E-2</v>
      </c>
      <c r="J4">
        <v>6.6666669999999997E-2</v>
      </c>
      <c r="K4">
        <v>0</v>
      </c>
      <c r="L4">
        <v>0</v>
      </c>
      <c r="M4">
        <v>0</v>
      </c>
      <c r="N4">
        <v>0.3</v>
      </c>
      <c r="O4">
        <v>1</v>
      </c>
      <c r="P4">
        <v>0</v>
      </c>
      <c r="Q4">
        <v>0</v>
      </c>
      <c r="T4">
        <v>309.72000000000003</v>
      </c>
      <c r="U4">
        <v>9.9999999999999995E-8</v>
      </c>
      <c r="V4">
        <v>0</v>
      </c>
      <c r="W4">
        <v>0.8</v>
      </c>
      <c r="X4">
        <v>1</v>
      </c>
      <c r="Y4">
        <v>3.7</v>
      </c>
      <c r="Z4">
        <v>0.56000000000000005</v>
      </c>
      <c r="AA4">
        <v>0.05</v>
      </c>
      <c r="AD4">
        <f t="shared" si="1"/>
        <v>4.981785714285715E-2</v>
      </c>
      <c r="AG4">
        <f t="shared" si="2"/>
        <v>2.5</v>
      </c>
      <c r="AH4">
        <f t="shared" si="0"/>
        <v>0.33156498673740054</v>
      </c>
      <c r="AI4">
        <f t="shared" si="3"/>
        <v>3.016</v>
      </c>
    </row>
    <row r="5" spans="1:36" x14ac:dyDescent="0.3">
      <c r="A5">
        <v>2.5499999999999998</v>
      </c>
      <c r="B5" t="s">
        <v>32</v>
      </c>
      <c r="C5" t="s">
        <v>27</v>
      </c>
      <c r="D5" t="s">
        <v>28</v>
      </c>
      <c r="E5" t="s">
        <v>29</v>
      </c>
      <c r="F5">
        <v>0.8</v>
      </c>
      <c r="G5">
        <v>0</v>
      </c>
      <c r="H5">
        <v>0</v>
      </c>
      <c r="I5">
        <v>6.6666669999999997E-2</v>
      </c>
      <c r="J5">
        <v>6.6666669999999997E-2</v>
      </c>
      <c r="K5">
        <v>0</v>
      </c>
      <c r="L5">
        <v>0</v>
      </c>
      <c r="M5">
        <v>0</v>
      </c>
      <c r="N5">
        <v>0.3</v>
      </c>
      <c r="O5">
        <v>1</v>
      </c>
      <c r="P5">
        <v>0</v>
      </c>
      <c r="Q5">
        <v>0</v>
      </c>
      <c r="T5">
        <v>2732.94</v>
      </c>
      <c r="U5">
        <v>7.0000000000000005E-8</v>
      </c>
      <c r="V5">
        <v>0</v>
      </c>
      <c r="W5">
        <v>0.8</v>
      </c>
      <c r="X5">
        <v>1</v>
      </c>
      <c r="Y5">
        <v>3.7</v>
      </c>
      <c r="Z5">
        <v>0.56000000000000005</v>
      </c>
      <c r="AA5">
        <v>0.05</v>
      </c>
      <c r="AD5">
        <f t="shared" si="1"/>
        <v>1.6848214285714286E-2</v>
      </c>
      <c r="AG5">
        <f t="shared" si="2"/>
        <v>2.5</v>
      </c>
      <c r="AH5">
        <f t="shared" si="0"/>
        <v>0.98039215686274517</v>
      </c>
      <c r="AI5">
        <f t="shared" si="3"/>
        <v>1.02</v>
      </c>
    </row>
    <row r="6" spans="1:36" x14ac:dyDescent="0.3">
      <c r="A6">
        <v>6.23</v>
      </c>
      <c r="B6" t="s">
        <v>33</v>
      </c>
      <c r="C6" t="s">
        <v>27</v>
      </c>
      <c r="D6" t="s">
        <v>28</v>
      </c>
      <c r="E6" t="s">
        <v>29</v>
      </c>
      <c r="F6">
        <v>0.8</v>
      </c>
      <c r="G6">
        <v>0</v>
      </c>
      <c r="H6">
        <v>0</v>
      </c>
      <c r="I6">
        <v>6.6666669999999997E-2</v>
      </c>
      <c r="J6">
        <v>6.6666669999999997E-2</v>
      </c>
      <c r="K6">
        <v>0</v>
      </c>
      <c r="L6">
        <v>0</v>
      </c>
      <c r="M6">
        <v>0</v>
      </c>
      <c r="N6">
        <v>0.3</v>
      </c>
      <c r="O6">
        <v>1</v>
      </c>
      <c r="P6">
        <v>0</v>
      </c>
      <c r="Q6">
        <v>0</v>
      </c>
      <c r="T6">
        <v>13566.64</v>
      </c>
      <c r="U6">
        <v>8.0000000000000002E-8</v>
      </c>
      <c r="V6">
        <v>0</v>
      </c>
      <c r="W6">
        <v>0.8</v>
      </c>
      <c r="X6">
        <v>1</v>
      </c>
      <c r="Y6">
        <v>3.7</v>
      </c>
      <c r="Z6">
        <v>0.56000000000000005</v>
      </c>
      <c r="AA6">
        <v>0.05</v>
      </c>
      <c r="AD6">
        <f t="shared" si="1"/>
        <v>4.1162500000000005E-2</v>
      </c>
      <c r="AG6">
        <f t="shared" si="2"/>
        <v>2.5</v>
      </c>
      <c r="AH6">
        <f t="shared" si="0"/>
        <v>0.40128410914927765</v>
      </c>
      <c r="AI6">
        <f t="shared" si="3"/>
        <v>2.4920000000000004</v>
      </c>
    </row>
    <row r="7" spans="1:36" x14ac:dyDescent="0.3">
      <c r="A7">
        <v>6.2</v>
      </c>
      <c r="B7" t="s">
        <v>34</v>
      </c>
      <c r="C7" t="s">
        <v>27</v>
      </c>
      <c r="D7" t="s">
        <v>28</v>
      </c>
      <c r="E7" t="s">
        <v>29</v>
      </c>
      <c r="F7">
        <v>0.8</v>
      </c>
      <c r="G7">
        <v>0</v>
      </c>
      <c r="H7">
        <v>0</v>
      </c>
      <c r="I7">
        <v>6.6666669999999997E-2</v>
      </c>
      <c r="J7">
        <v>6.6666669999999997E-2</v>
      </c>
      <c r="K7">
        <v>0</v>
      </c>
      <c r="L7">
        <v>0</v>
      </c>
      <c r="M7">
        <v>0</v>
      </c>
      <c r="N7">
        <v>0.3</v>
      </c>
      <c r="O7">
        <v>1</v>
      </c>
      <c r="P7">
        <v>0</v>
      </c>
      <c r="Q7">
        <v>0</v>
      </c>
      <c r="T7">
        <v>103.74</v>
      </c>
      <c r="U7">
        <v>9.9999999999999995E-8</v>
      </c>
      <c r="V7">
        <v>0</v>
      </c>
      <c r="W7">
        <v>0.8</v>
      </c>
      <c r="X7">
        <v>1</v>
      </c>
      <c r="Y7">
        <v>3.7</v>
      </c>
      <c r="Z7">
        <v>0.56000000000000005</v>
      </c>
      <c r="AA7">
        <v>0.05</v>
      </c>
      <c r="AD7">
        <f t="shared" si="1"/>
        <v>4.0964285714285717E-2</v>
      </c>
      <c r="AG7">
        <f t="shared" si="2"/>
        <v>2.5</v>
      </c>
      <c r="AH7">
        <f t="shared" si="0"/>
        <v>0.40322580645161288</v>
      </c>
      <c r="AI7">
        <f t="shared" si="3"/>
        <v>2.48</v>
      </c>
    </row>
    <row r="8" spans="1:36" x14ac:dyDescent="0.3">
      <c r="A8">
        <v>6.13</v>
      </c>
      <c r="B8" t="s">
        <v>35</v>
      </c>
      <c r="C8" t="s">
        <v>27</v>
      </c>
      <c r="D8" t="s">
        <v>28</v>
      </c>
      <c r="E8" t="s">
        <v>29</v>
      </c>
      <c r="F8">
        <v>0.8</v>
      </c>
      <c r="G8">
        <v>0</v>
      </c>
      <c r="H8">
        <v>0</v>
      </c>
      <c r="I8">
        <v>6.6666669999999997E-2</v>
      </c>
      <c r="J8">
        <v>6.6666669999999997E-2</v>
      </c>
      <c r="K8">
        <v>0</v>
      </c>
      <c r="L8">
        <v>0</v>
      </c>
      <c r="M8">
        <v>0</v>
      </c>
      <c r="N8">
        <v>0.3</v>
      </c>
      <c r="O8">
        <v>1</v>
      </c>
      <c r="P8">
        <v>0</v>
      </c>
      <c r="Q8">
        <v>0</v>
      </c>
      <c r="T8">
        <v>1382.71</v>
      </c>
      <c r="U8">
        <v>9.9999999999999995E-8</v>
      </c>
      <c r="V8">
        <v>0</v>
      </c>
      <c r="W8">
        <v>0.8</v>
      </c>
      <c r="X8">
        <v>1</v>
      </c>
      <c r="Y8">
        <v>3.7</v>
      </c>
      <c r="Z8">
        <v>0.56000000000000005</v>
      </c>
      <c r="AA8">
        <v>0.05</v>
      </c>
      <c r="AD8">
        <f t="shared" si="1"/>
        <v>4.0501785714285719E-2</v>
      </c>
      <c r="AG8">
        <f t="shared" si="2"/>
        <v>2.5</v>
      </c>
      <c r="AH8">
        <f t="shared" si="0"/>
        <v>0.40783034257748779</v>
      </c>
      <c r="AI8">
        <f t="shared" si="3"/>
        <v>2.452</v>
      </c>
    </row>
    <row r="9" spans="1:36" x14ac:dyDescent="0.3">
      <c r="A9">
        <v>11.04</v>
      </c>
      <c r="B9" t="s">
        <v>36</v>
      </c>
      <c r="C9" t="s">
        <v>37</v>
      </c>
      <c r="D9" t="s">
        <v>28</v>
      </c>
      <c r="E9" t="s">
        <v>29</v>
      </c>
      <c r="F9">
        <v>0.8</v>
      </c>
      <c r="G9">
        <v>0</v>
      </c>
      <c r="H9">
        <v>0</v>
      </c>
      <c r="I9">
        <v>6.6666669999999997E-2</v>
      </c>
      <c r="J9">
        <v>6.6666669999999997E-2</v>
      </c>
      <c r="K9">
        <v>0</v>
      </c>
      <c r="L9">
        <v>0</v>
      </c>
      <c r="M9">
        <v>0</v>
      </c>
      <c r="N9">
        <v>0.3</v>
      </c>
      <c r="O9">
        <v>1</v>
      </c>
      <c r="P9">
        <v>0</v>
      </c>
      <c r="Q9">
        <v>0</v>
      </c>
      <c r="T9">
        <v>3121</v>
      </c>
      <c r="U9">
        <v>5.9999999999999995E-8</v>
      </c>
      <c r="V9">
        <v>0</v>
      </c>
      <c r="W9">
        <v>0.8</v>
      </c>
      <c r="X9">
        <v>1</v>
      </c>
      <c r="Y9">
        <v>3.7</v>
      </c>
      <c r="Z9">
        <v>0.56000000000000005</v>
      </c>
      <c r="AA9">
        <v>0.05</v>
      </c>
      <c r="AD9">
        <f t="shared" si="1"/>
        <v>7.2942857142857143E-2</v>
      </c>
      <c r="AG9">
        <f t="shared" si="2"/>
        <v>2.5</v>
      </c>
      <c r="AH9">
        <f t="shared" si="0"/>
        <v>0.22644927536231885</v>
      </c>
      <c r="AI9">
        <f t="shared" si="3"/>
        <v>4.4159999999999995</v>
      </c>
    </row>
    <row r="10" spans="1:36" x14ac:dyDescent="0.3">
      <c r="A10">
        <v>9.7200000000000006</v>
      </c>
      <c r="B10" t="s">
        <v>38</v>
      </c>
      <c r="C10" t="s">
        <v>37</v>
      </c>
      <c r="D10" t="s">
        <v>28</v>
      </c>
      <c r="E10" t="s">
        <v>29</v>
      </c>
      <c r="F10">
        <v>0.8</v>
      </c>
      <c r="G10">
        <v>0</v>
      </c>
      <c r="H10">
        <v>0</v>
      </c>
      <c r="I10">
        <v>6.6666669999999997E-2</v>
      </c>
      <c r="J10">
        <v>6.6666669999999997E-2</v>
      </c>
      <c r="K10">
        <v>0</v>
      </c>
      <c r="L10">
        <v>0</v>
      </c>
      <c r="M10">
        <v>0</v>
      </c>
      <c r="N10">
        <v>0.3</v>
      </c>
      <c r="O10">
        <v>1</v>
      </c>
      <c r="P10">
        <v>0</v>
      </c>
      <c r="Q10">
        <v>0</v>
      </c>
      <c r="T10">
        <v>7716.32</v>
      </c>
      <c r="U10">
        <v>9.9999999999999995E-8</v>
      </c>
      <c r="V10">
        <v>0</v>
      </c>
      <c r="W10">
        <v>0.8</v>
      </c>
      <c r="X10">
        <v>1</v>
      </c>
      <c r="Y10">
        <v>3.7</v>
      </c>
      <c r="Z10">
        <v>0.56000000000000005</v>
      </c>
      <c r="AA10">
        <v>0.05</v>
      </c>
      <c r="AD10">
        <f t="shared" si="1"/>
        <v>6.4221428571428582E-2</v>
      </c>
      <c r="AG10">
        <f t="shared" si="2"/>
        <v>2.5</v>
      </c>
      <c r="AH10">
        <f t="shared" si="0"/>
        <v>0.25720164609053497</v>
      </c>
      <c r="AI10">
        <f t="shared" si="3"/>
        <v>3.8879999999999999</v>
      </c>
    </row>
    <row r="11" spans="1:36" x14ac:dyDescent="0.3">
      <c r="A11">
        <v>6.81</v>
      </c>
      <c r="B11" t="s">
        <v>39</v>
      </c>
      <c r="C11" t="s">
        <v>37</v>
      </c>
      <c r="D11" t="s">
        <v>28</v>
      </c>
      <c r="E11" t="s">
        <v>29</v>
      </c>
      <c r="F11">
        <v>0.8</v>
      </c>
      <c r="G11">
        <v>0</v>
      </c>
      <c r="H11">
        <v>0</v>
      </c>
      <c r="I11">
        <v>6.6666669999999997E-2</v>
      </c>
      <c r="J11">
        <v>6.6666669999999997E-2</v>
      </c>
      <c r="K11">
        <v>0</v>
      </c>
      <c r="L11">
        <v>0</v>
      </c>
      <c r="M11">
        <v>0</v>
      </c>
      <c r="N11">
        <v>0.3</v>
      </c>
      <c r="O11">
        <v>1</v>
      </c>
      <c r="P11">
        <v>0</v>
      </c>
      <c r="Q11">
        <v>0</v>
      </c>
      <c r="T11">
        <v>13.16</v>
      </c>
      <c r="U11">
        <v>9.9999999999999995E-8</v>
      </c>
      <c r="V11">
        <v>0</v>
      </c>
      <c r="W11">
        <v>0.8</v>
      </c>
      <c r="X11">
        <v>1</v>
      </c>
      <c r="Y11">
        <v>3.7</v>
      </c>
      <c r="Z11">
        <v>0.56000000000000005</v>
      </c>
      <c r="AA11">
        <v>0.05</v>
      </c>
      <c r="AD11">
        <f t="shared" si="1"/>
        <v>4.4994642857142858E-2</v>
      </c>
      <c r="AG11">
        <f t="shared" si="2"/>
        <v>2.5</v>
      </c>
      <c r="AH11">
        <f t="shared" si="0"/>
        <v>0.36710719530102792</v>
      </c>
      <c r="AI11">
        <f t="shared" si="3"/>
        <v>2.7239999999999998</v>
      </c>
    </row>
    <row r="12" spans="1:36" x14ac:dyDescent="0.3">
      <c r="A12">
        <v>22.97</v>
      </c>
      <c r="B12" t="s">
        <v>40</v>
      </c>
      <c r="C12" t="s">
        <v>37</v>
      </c>
      <c r="D12" t="s">
        <v>28</v>
      </c>
      <c r="E12" t="s">
        <v>29</v>
      </c>
      <c r="F12">
        <v>0.8</v>
      </c>
      <c r="G12">
        <v>0</v>
      </c>
      <c r="H12">
        <v>0</v>
      </c>
      <c r="I12">
        <v>6.6666669999999997E-2</v>
      </c>
      <c r="J12">
        <v>6.6666669999999997E-2</v>
      </c>
      <c r="K12">
        <v>0</v>
      </c>
      <c r="L12">
        <v>0</v>
      </c>
      <c r="M12">
        <v>0</v>
      </c>
      <c r="N12">
        <v>0.3</v>
      </c>
      <c r="O12">
        <v>1</v>
      </c>
      <c r="P12">
        <v>0</v>
      </c>
      <c r="Q12">
        <v>0</v>
      </c>
      <c r="T12">
        <v>40.32</v>
      </c>
      <c r="U12">
        <v>9.9999999999999995E-8</v>
      </c>
      <c r="V12">
        <v>0</v>
      </c>
      <c r="W12">
        <v>0.8</v>
      </c>
      <c r="X12">
        <v>1</v>
      </c>
      <c r="Y12">
        <v>3.7</v>
      </c>
      <c r="Z12">
        <v>0.56000000000000005</v>
      </c>
      <c r="AA12">
        <v>0.05</v>
      </c>
      <c r="AD12">
        <f t="shared" si="1"/>
        <v>0.15176607142857143</v>
      </c>
      <c r="AG12">
        <f t="shared" si="2"/>
        <v>2.5</v>
      </c>
      <c r="AH12">
        <f t="shared" si="0"/>
        <v>0.108837614279495</v>
      </c>
      <c r="AI12">
        <f t="shared" si="3"/>
        <v>9.1880000000000006</v>
      </c>
    </row>
    <row r="13" spans="1:36" x14ac:dyDescent="0.3">
      <c r="A13">
        <v>6.9</v>
      </c>
      <c r="B13" t="s">
        <v>41</v>
      </c>
      <c r="C13" t="s">
        <v>37</v>
      </c>
      <c r="D13" t="s">
        <v>28</v>
      </c>
      <c r="E13" t="s">
        <v>29</v>
      </c>
      <c r="F13">
        <v>0.8</v>
      </c>
      <c r="G13">
        <v>0</v>
      </c>
      <c r="H13">
        <v>0</v>
      </c>
      <c r="I13">
        <v>6.6666669999999997E-2</v>
      </c>
      <c r="J13">
        <v>6.6666669999999997E-2</v>
      </c>
      <c r="K13">
        <v>0</v>
      </c>
      <c r="L13">
        <v>0</v>
      </c>
      <c r="M13">
        <v>0</v>
      </c>
      <c r="N13">
        <v>0.3</v>
      </c>
      <c r="O13">
        <v>1</v>
      </c>
      <c r="P13">
        <v>0</v>
      </c>
      <c r="Q13">
        <v>0</v>
      </c>
      <c r="T13">
        <v>1.02</v>
      </c>
      <c r="U13">
        <v>9.9999999999999995E-8</v>
      </c>
      <c r="V13">
        <v>0</v>
      </c>
      <c r="W13">
        <v>0.8</v>
      </c>
      <c r="X13">
        <v>1</v>
      </c>
      <c r="Y13">
        <v>3.7</v>
      </c>
      <c r="Z13">
        <v>0.56000000000000005</v>
      </c>
      <c r="AA13">
        <v>0.05</v>
      </c>
      <c r="AD13">
        <f t="shared" si="1"/>
        <v>4.5589285714285714E-2</v>
      </c>
      <c r="AG13">
        <f t="shared" si="2"/>
        <v>2.5</v>
      </c>
      <c r="AH13">
        <f t="shared" si="0"/>
        <v>0.36231884057971014</v>
      </c>
      <c r="AI13">
        <f t="shared" si="3"/>
        <v>2.76</v>
      </c>
    </row>
    <row r="14" spans="1:36" x14ac:dyDescent="0.3">
      <c r="A14">
        <v>10.69</v>
      </c>
      <c r="B14" t="s">
        <v>42</v>
      </c>
      <c r="C14" t="s">
        <v>37</v>
      </c>
      <c r="D14" t="s">
        <v>28</v>
      </c>
      <c r="E14" t="s">
        <v>29</v>
      </c>
      <c r="F14">
        <v>0.8</v>
      </c>
      <c r="G14">
        <v>0</v>
      </c>
      <c r="H14">
        <v>0</v>
      </c>
      <c r="I14">
        <v>6.6666669999999997E-2</v>
      </c>
      <c r="J14">
        <v>6.6666669999999997E-2</v>
      </c>
      <c r="K14">
        <v>0</v>
      </c>
      <c r="L14">
        <v>0</v>
      </c>
      <c r="M14">
        <v>0</v>
      </c>
      <c r="N14">
        <v>0.3</v>
      </c>
      <c r="O14">
        <v>1</v>
      </c>
      <c r="P14">
        <v>0</v>
      </c>
      <c r="Q14">
        <v>0</v>
      </c>
      <c r="T14">
        <v>792.31</v>
      </c>
      <c r="U14">
        <v>9.9999999999999995E-8</v>
      </c>
      <c r="V14">
        <v>0</v>
      </c>
      <c r="W14">
        <v>0.8</v>
      </c>
      <c r="X14">
        <v>1</v>
      </c>
      <c r="Y14">
        <v>3.7</v>
      </c>
      <c r="Z14">
        <v>0.56000000000000005</v>
      </c>
      <c r="AA14">
        <v>0.05</v>
      </c>
      <c r="AD14">
        <f t="shared" si="1"/>
        <v>7.0630357142857134E-2</v>
      </c>
      <c r="AG14">
        <f t="shared" si="2"/>
        <v>2.5</v>
      </c>
      <c r="AH14">
        <f t="shared" si="0"/>
        <v>0.23386342376052385</v>
      </c>
      <c r="AI14">
        <f t="shared" si="3"/>
        <v>4.2759999999999998</v>
      </c>
    </row>
    <row r="15" spans="1:36" x14ac:dyDescent="0.3">
      <c r="A15">
        <v>10.5</v>
      </c>
      <c r="B15" t="s">
        <v>43</v>
      </c>
      <c r="C15" t="s">
        <v>37</v>
      </c>
      <c r="D15" t="s">
        <v>28</v>
      </c>
      <c r="E15" t="s">
        <v>29</v>
      </c>
      <c r="F15">
        <v>0.8</v>
      </c>
      <c r="G15">
        <v>0</v>
      </c>
      <c r="H15">
        <v>0</v>
      </c>
      <c r="I15">
        <v>6.6666669999999997E-2</v>
      </c>
      <c r="J15">
        <v>6.6666669999999997E-2</v>
      </c>
      <c r="K15">
        <v>0</v>
      </c>
      <c r="L15">
        <v>0</v>
      </c>
      <c r="M15">
        <v>0</v>
      </c>
      <c r="N15">
        <v>0.3</v>
      </c>
      <c r="O15">
        <v>1</v>
      </c>
      <c r="P15">
        <v>0</v>
      </c>
      <c r="Q15">
        <v>0</v>
      </c>
      <c r="T15">
        <v>2.85</v>
      </c>
      <c r="U15">
        <v>9.9999999999999995E-8</v>
      </c>
      <c r="V15">
        <v>0</v>
      </c>
      <c r="W15">
        <v>0.8</v>
      </c>
      <c r="X15">
        <v>1</v>
      </c>
      <c r="Y15">
        <v>3.7</v>
      </c>
      <c r="Z15">
        <v>0.56000000000000005</v>
      </c>
      <c r="AA15">
        <v>0.05</v>
      </c>
      <c r="AD15">
        <f t="shared" si="1"/>
        <v>6.9375000000000006E-2</v>
      </c>
      <c r="AG15">
        <f t="shared" si="2"/>
        <v>2.5</v>
      </c>
      <c r="AH15">
        <f t="shared" si="0"/>
        <v>0.23809523809523808</v>
      </c>
      <c r="AI15">
        <f t="shared" si="3"/>
        <v>4.2</v>
      </c>
    </row>
    <row r="16" spans="1:36" x14ac:dyDescent="0.3">
      <c r="A16">
        <v>25.39</v>
      </c>
      <c r="B16" t="s">
        <v>44</v>
      </c>
      <c r="C16" t="s">
        <v>37</v>
      </c>
      <c r="D16" t="s">
        <v>28</v>
      </c>
      <c r="E16" t="s">
        <v>29</v>
      </c>
      <c r="F16">
        <v>0.8</v>
      </c>
      <c r="G16">
        <v>0</v>
      </c>
      <c r="H16">
        <v>0</v>
      </c>
      <c r="I16">
        <v>6.6666669999999997E-2</v>
      </c>
      <c r="J16">
        <v>6.6666669999999997E-2</v>
      </c>
      <c r="K16">
        <v>0</v>
      </c>
      <c r="L16">
        <v>0</v>
      </c>
      <c r="M16">
        <v>0</v>
      </c>
      <c r="N16">
        <v>0.3</v>
      </c>
      <c r="O16">
        <v>1</v>
      </c>
      <c r="P16">
        <v>0</v>
      </c>
      <c r="Q16">
        <v>0</v>
      </c>
      <c r="T16">
        <v>13.24</v>
      </c>
      <c r="U16">
        <v>9.9999999999999995E-8</v>
      </c>
      <c r="V16">
        <v>0</v>
      </c>
      <c r="W16">
        <v>0.8</v>
      </c>
      <c r="X16">
        <v>1</v>
      </c>
      <c r="Y16">
        <v>3.7</v>
      </c>
      <c r="Z16">
        <v>0.56000000000000005</v>
      </c>
      <c r="AA16">
        <v>0.05</v>
      </c>
      <c r="AD16">
        <f t="shared" si="1"/>
        <v>0.16775535714285716</v>
      </c>
      <c r="AG16">
        <f t="shared" si="2"/>
        <v>2.5</v>
      </c>
      <c r="AH16">
        <f t="shared" si="0"/>
        <v>9.8463962189838522E-2</v>
      </c>
      <c r="AI16">
        <f t="shared" si="3"/>
        <v>10.156000000000001</v>
      </c>
    </row>
    <row r="17" spans="1:35" x14ac:dyDescent="0.3">
      <c r="A17">
        <v>25.85</v>
      </c>
      <c r="B17" t="s">
        <v>45</v>
      </c>
      <c r="C17" t="s">
        <v>37</v>
      </c>
      <c r="D17" t="s">
        <v>28</v>
      </c>
      <c r="E17" t="s">
        <v>29</v>
      </c>
      <c r="F17">
        <v>0.8</v>
      </c>
      <c r="G17">
        <v>0</v>
      </c>
      <c r="H17">
        <v>0</v>
      </c>
      <c r="I17">
        <v>6.6666669999999997E-2</v>
      </c>
      <c r="J17">
        <v>6.6666669999999997E-2</v>
      </c>
      <c r="K17">
        <v>0</v>
      </c>
      <c r="L17">
        <v>0</v>
      </c>
      <c r="M17">
        <v>0</v>
      </c>
      <c r="N17">
        <v>0.3</v>
      </c>
      <c r="O17">
        <v>1</v>
      </c>
      <c r="P17">
        <v>0</v>
      </c>
      <c r="Q17">
        <v>0</v>
      </c>
      <c r="T17">
        <v>4.76</v>
      </c>
      <c r="U17">
        <v>9.9999999999999995E-8</v>
      </c>
      <c r="V17">
        <v>0</v>
      </c>
      <c r="W17">
        <v>0.8</v>
      </c>
      <c r="X17">
        <v>1</v>
      </c>
      <c r="Y17">
        <v>3.7</v>
      </c>
      <c r="Z17">
        <v>0.56000000000000005</v>
      </c>
      <c r="AA17">
        <v>0.05</v>
      </c>
      <c r="AD17">
        <f t="shared" si="1"/>
        <v>0.17079464285714288</v>
      </c>
      <c r="AG17">
        <f t="shared" si="2"/>
        <v>2.5</v>
      </c>
      <c r="AH17">
        <f t="shared" si="0"/>
        <v>9.6711798839458407E-2</v>
      </c>
      <c r="AI17">
        <f t="shared" si="3"/>
        <v>10.34</v>
      </c>
    </row>
    <row r="18" spans="1:35" x14ac:dyDescent="0.3">
      <c r="A18">
        <v>28.02</v>
      </c>
      <c r="B18" t="s">
        <v>46</v>
      </c>
      <c r="C18" t="s">
        <v>37</v>
      </c>
      <c r="D18" t="s">
        <v>28</v>
      </c>
      <c r="E18" t="s">
        <v>29</v>
      </c>
      <c r="F18">
        <v>0.8</v>
      </c>
      <c r="G18">
        <v>0</v>
      </c>
      <c r="H18">
        <v>0</v>
      </c>
      <c r="I18">
        <v>6.6666669999999997E-2</v>
      </c>
      <c r="J18">
        <v>6.6666669999999997E-2</v>
      </c>
      <c r="K18">
        <v>0</v>
      </c>
      <c r="L18">
        <v>0</v>
      </c>
      <c r="M18">
        <v>0</v>
      </c>
      <c r="N18">
        <v>0.3</v>
      </c>
      <c r="O18">
        <v>1</v>
      </c>
      <c r="P18">
        <v>0</v>
      </c>
      <c r="Q18">
        <v>0</v>
      </c>
      <c r="T18">
        <v>8.27</v>
      </c>
      <c r="U18">
        <v>9.9999999999999995E-8</v>
      </c>
      <c r="V18">
        <v>0</v>
      </c>
      <c r="W18">
        <v>0.8</v>
      </c>
      <c r="X18">
        <v>1</v>
      </c>
      <c r="Y18">
        <v>3.7</v>
      </c>
      <c r="Z18">
        <v>0.56000000000000005</v>
      </c>
      <c r="AA18">
        <v>0.05</v>
      </c>
      <c r="AD18">
        <f t="shared" si="1"/>
        <v>0.18513214285714286</v>
      </c>
      <c r="AG18">
        <f t="shared" si="2"/>
        <v>2.5</v>
      </c>
      <c r="AH18">
        <f t="shared" si="0"/>
        <v>8.9221984296930762E-2</v>
      </c>
      <c r="AI18">
        <f t="shared" si="3"/>
        <v>11.208</v>
      </c>
    </row>
    <row r="19" spans="1:35" x14ac:dyDescent="0.3">
      <c r="A19">
        <v>30.15</v>
      </c>
      <c r="B19" t="s">
        <v>47</v>
      </c>
      <c r="C19" t="s">
        <v>37</v>
      </c>
      <c r="D19" t="s">
        <v>28</v>
      </c>
      <c r="E19" t="s">
        <v>29</v>
      </c>
      <c r="F19">
        <v>0.8</v>
      </c>
      <c r="G19">
        <v>0</v>
      </c>
      <c r="H19">
        <v>0</v>
      </c>
      <c r="I19">
        <v>6.6666669999999997E-2</v>
      </c>
      <c r="J19">
        <v>6.6666669999999997E-2</v>
      </c>
      <c r="K19">
        <v>0</v>
      </c>
      <c r="L19">
        <v>0</v>
      </c>
      <c r="M19">
        <v>0</v>
      </c>
      <c r="N19">
        <v>0.3</v>
      </c>
      <c r="O19">
        <v>1</v>
      </c>
      <c r="P19">
        <v>0</v>
      </c>
      <c r="Q19">
        <v>0</v>
      </c>
      <c r="T19">
        <v>15.13</v>
      </c>
      <c r="U19">
        <v>9.9999999999999995E-8</v>
      </c>
      <c r="V19">
        <v>0</v>
      </c>
      <c r="W19">
        <v>0.8</v>
      </c>
      <c r="X19">
        <v>1</v>
      </c>
      <c r="Y19">
        <v>3.7</v>
      </c>
      <c r="Z19">
        <v>0.56000000000000005</v>
      </c>
      <c r="AA19">
        <v>0.05</v>
      </c>
      <c r="AD19">
        <f t="shared" si="1"/>
        <v>0.19920535714285714</v>
      </c>
      <c r="AG19">
        <f t="shared" si="2"/>
        <v>2.5</v>
      </c>
      <c r="AH19">
        <f t="shared" si="0"/>
        <v>8.2918739635157543E-2</v>
      </c>
      <c r="AI19">
        <f t="shared" si="3"/>
        <v>12.06</v>
      </c>
    </row>
    <row r="20" spans="1:35" x14ac:dyDescent="0.3">
      <c r="A20">
        <v>38.4</v>
      </c>
      <c r="B20" t="s">
        <v>48</v>
      </c>
      <c r="C20" t="s">
        <v>37</v>
      </c>
      <c r="D20" t="s">
        <v>28</v>
      </c>
      <c r="E20" t="s">
        <v>29</v>
      </c>
      <c r="F20">
        <v>0.8</v>
      </c>
      <c r="G20">
        <v>0</v>
      </c>
      <c r="H20">
        <v>0</v>
      </c>
      <c r="I20">
        <v>6.6666669999999997E-2</v>
      </c>
      <c r="J20">
        <v>6.6666669999999997E-2</v>
      </c>
      <c r="K20">
        <v>0</v>
      </c>
      <c r="L20">
        <v>0</v>
      </c>
      <c r="M20">
        <v>0</v>
      </c>
      <c r="N20">
        <v>0.3</v>
      </c>
      <c r="O20">
        <v>1</v>
      </c>
      <c r="P20">
        <v>0</v>
      </c>
      <c r="Q20">
        <v>0</v>
      </c>
      <c r="T20">
        <v>8251.2199999999993</v>
      </c>
      <c r="U20">
        <v>9.9999999999999995E-8</v>
      </c>
      <c r="V20">
        <v>0</v>
      </c>
      <c r="W20">
        <v>0.8</v>
      </c>
      <c r="X20">
        <v>1</v>
      </c>
      <c r="Y20">
        <v>3.7</v>
      </c>
      <c r="Z20">
        <v>0.56000000000000005</v>
      </c>
      <c r="AA20">
        <v>0.05</v>
      </c>
      <c r="AD20">
        <f t="shared" si="1"/>
        <v>0.25371428571428573</v>
      </c>
      <c r="AG20">
        <f t="shared" si="2"/>
        <v>2.5</v>
      </c>
      <c r="AH20">
        <f t="shared" si="0"/>
        <v>6.5104166666666671E-2</v>
      </c>
      <c r="AI20">
        <f t="shared" si="3"/>
        <v>15.36</v>
      </c>
    </row>
    <row r="21" spans="1:35" x14ac:dyDescent="0.3">
      <c r="A21">
        <v>50.79</v>
      </c>
      <c r="B21" t="s">
        <v>49</v>
      </c>
      <c r="C21" t="s">
        <v>37</v>
      </c>
      <c r="D21" t="s">
        <v>28</v>
      </c>
      <c r="E21" t="s">
        <v>29</v>
      </c>
      <c r="F21">
        <v>0.8</v>
      </c>
      <c r="G21">
        <v>0</v>
      </c>
      <c r="H21">
        <v>0</v>
      </c>
      <c r="I21">
        <v>6.6666669999999997E-2</v>
      </c>
      <c r="J21">
        <v>6.6666669999999997E-2</v>
      </c>
      <c r="K21">
        <v>0</v>
      </c>
      <c r="L21">
        <v>0</v>
      </c>
      <c r="M21">
        <v>0</v>
      </c>
      <c r="N21">
        <v>0.3</v>
      </c>
      <c r="O21">
        <v>1</v>
      </c>
      <c r="P21">
        <v>0</v>
      </c>
      <c r="Q21">
        <v>0</v>
      </c>
      <c r="T21">
        <v>56.03</v>
      </c>
      <c r="U21">
        <v>9.9999999999999995E-8</v>
      </c>
      <c r="V21">
        <v>0</v>
      </c>
      <c r="W21">
        <v>0.8</v>
      </c>
      <c r="X21">
        <v>1</v>
      </c>
      <c r="Y21">
        <v>3.7</v>
      </c>
      <c r="Z21">
        <v>0.56000000000000005</v>
      </c>
      <c r="AA21">
        <v>0.05</v>
      </c>
      <c r="AD21">
        <f t="shared" si="1"/>
        <v>0.33557678571428573</v>
      </c>
      <c r="AG21">
        <f t="shared" si="2"/>
        <v>2.5</v>
      </c>
      <c r="AH21">
        <f t="shared" si="0"/>
        <v>4.9222287851939356E-2</v>
      </c>
      <c r="AI21">
        <f t="shared" si="3"/>
        <v>20.316000000000003</v>
      </c>
    </row>
    <row r="22" spans="1:35" x14ac:dyDescent="0.3">
      <c r="A22">
        <v>11.49</v>
      </c>
      <c r="B22" t="s">
        <v>50</v>
      </c>
      <c r="C22" t="s">
        <v>51</v>
      </c>
      <c r="D22" t="s">
        <v>28</v>
      </c>
      <c r="E22" t="s">
        <v>29</v>
      </c>
      <c r="F22">
        <v>0.8</v>
      </c>
      <c r="G22">
        <v>0</v>
      </c>
      <c r="H22">
        <v>0</v>
      </c>
      <c r="I22">
        <v>6.6666669999999997E-2</v>
      </c>
      <c r="J22">
        <v>6.6666669999999997E-2</v>
      </c>
      <c r="K22">
        <v>0</v>
      </c>
      <c r="L22">
        <v>0</v>
      </c>
      <c r="M22">
        <v>0</v>
      </c>
      <c r="N22">
        <v>0.3</v>
      </c>
      <c r="O22">
        <v>1</v>
      </c>
      <c r="P22">
        <v>0</v>
      </c>
      <c r="Q22">
        <v>0</v>
      </c>
      <c r="T22">
        <v>277.04000000000002</v>
      </c>
      <c r="U22">
        <v>9.9999999999999995E-8</v>
      </c>
      <c r="V22">
        <v>0</v>
      </c>
      <c r="W22">
        <v>0.8</v>
      </c>
      <c r="X22">
        <v>1</v>
      </c>
      <c r="Y22">
        <v>3.7</v>
      </c>
      <c r="Z22">
        <v>0.56000000000000005</v>
      </c>
      <c r="AA22">
        <v>0.05</v>
      </c>
      <c r="AD22">
        <f t="shared" si="1"/>
        <v>7.5916071428571444E-2</v>
      </c>
      <c r="AG22">
        <f t="shared" si="2"/>
        <v>2.5</v>
      </c>
      <c r="AH22">
        <f t="shared" si="0"/>
        <v>0.2175805047867711</v>
      </c>
      <c r="AI22">
        <f t="shared" si="3"/>
        <v>4.5960000000000001</v>
      </c>
    </row>
    <row r="23" spans="1:35" x14ac:dyDescent="0.3">
      <c r="A23">
        <v>5.15</v>
      </c>
      <c r="B23" t="s">
        <v>52</v>
      </c>
      <c r="C23" t="s">
        <v>51</v>
      </c>
      <c r="D23" t="s">
        <v>28</v>
      </c>
      <c r="E23" t="s">
        <v>29</v>
      </c>
      <c r="F23">
        <v>0.8</v>
      </c>
      <c r="G23">
        <v>0</v>
      </c>
      <c r="H23">
        <v>0</v>
      </c>
      <c r="I23">
        <v>6.6666669999999997E-2</v>
      </c>
      <c r="J23">
        <v>6.6666669999999997E-2</v>
      </c>
      <c r="K23">
        <v>0</v>
      </c>
      <c r="L23">
        <v>0</v>
      </c>
      <c r="M23">
        <v>0</v>
      </c>
      <c r="N23">
        <v>0.3</v>
      </c>
      <c r="O23">
        <v>1</v>
      </c>
      <c r="P23">
        <v>0</v>
      </c>
      <c r="Q23">
        <v>0</v>
      </c>
      <c r="T23">
        <v>1.97</v>
      </c>
      <c r="U23">
        <v>9.9999999999999995E-8</v>
      </c>
      <c r="V23">
        <v>0</v>
      </c>
      <c r="W23">
        <v>0.8</v>
      </c>
      <c r="X23">
        <v>1</v>
      </c>
      <c r="Y23">
        <v>3.7</v>
      </c>
      <c r="Z23">
        <v>0.56000000000000005</v>
      </c>
      <c r="AA23">
        <v>0.05</v>
      </c>
      <c r="AD23">
        <f t="shared" si="1"/>
        <v>3.4026785714285718E-2</v>
      </c>
      <c r="AG23">
        <f t="shared" si="2"/>
        <v>2.5</v>
      </c>
      <c r="AH23">
        <f t="shared" si="0"/>
        <v>0.48543689320388345</v>
      </c>
      <c r="AI23">
        <f t="shared" si="3"/>
        <v>2.06</v>
      </c>
    </row>
    <row r="24" spans="1:35" x14ac:dyDescent="0.3">
      <c r="A24">
        <v>2.4</v>
      </c>
      <c r="B24" t="s">
        <v>53</v>
      </c>
      <c r="C24" t="s">
        <v>51</v>
      </c>
      <c r="D24" t="s">
        <v>28</v>
      </c>
      <c r="E24" t="s">
        <v>29</v>
      </c>
      <c r="F24">
        <v>0.8</v>
      </c>
      <c r="G24">
        <v>0</v>
      </c>
      <c r="H24">
        <v>0</v>
      </c>
      <c r="I24">
        <v>6.6666669999999997E-2</v>
      </c>
      <c r="J24">
        <v>6.6666669999999997E-2</v>
      </c>
      <c r="K24">
        <v>0</v>
      </c>
      <c r="L24">
        <v>0</v>
      </c>
      <c r="M24">
        <v>0</v>
      </c>
      <c r="N24">
        <v>0.3</v>
      </c>
      <c r="O24">
        <v>1</v>
      </c>
      <c r="P24">
        <v>0</v>
      </c>
      <c r="Q24">
        <v>0</v>
      </c>
      <c r="T24">
        <v>17.66</v>
      </c>
      <c r="U24">
        <v>9.9999999999999995E-8</v>
      </c>
      <c r="V24">
        <v>0</v>
      </c>
      <c r="W24">
        <v>0.8</v>
      </c>
      <c r="X24">
        <v>1</v>
      </c>
      <c r="Y24">
        <v>3.7</v>
      </c>
      <c r="Z24">
        <v>0.56000000000000005</v>
      </c>
      <c r="AA24">
        <v>0.05</v>
      </c>
      <c r="AD24">
        <f t="shared" si="1"/>
        <v>1.5857142857142858E-2</v>
      </c>
      <c r="AG24">
        <f t="shared" si="2"/>
        <v>2.5</v>
      </c>
      <c r="AH24">
        <f t="shared" si="0"/>
        <v>1.0416666666666667</v>
      </c>
      <c r="AI24">
        <f t="shared" si="3"/>
        <v>0.96</v>
      </c>
    </row>
    <row r="25" spans="1:35" x14ac:dyDescent="0.3">
      <c r="A25">
        <v>1.97</v>
      </c>
      <c r="B25" t="s">
        <v>54</v>
      </c>
      <c r="C25" t="s">
        <v>27</v>
      </c>
      <c r="D25" t="s">
        <v>28</v>
      </c>
      <c r="E25" t="s">
        <v>29</v>
      </c>
      <c r="F25">
        <v>0.8</v>
      </c>
      <c r="G25">
        <v>0</v>
      </c>
      <c r="H25">
        <v>0</v>
      </c>
      <c r="I25">
        <v>6.6666669999999997E-2</v>
      </c>
      <c r="J25">
        <v>6.6666669999999997E-2</v>
      </c>
      <c r="K25">
        <v>0</v>
      </c>
      <c r="L25">
        <v>0</v>
      </c>
      <c r="M25">
        <v>0</v>
      </c>
      <c r="N25">
        <v>0.3</v>
      </c>
      <c r="O25">
        <v>1</v>
      </c>
      <c r="P25">
        <v>0</v>
      </c>
      <c r="Q25">
        <v>0</v>
      </c>
      <c r="T25">
        <v>12.4</v>
      </c>
      <c r="U25">
        <v>9.9999999999999995E-8</v>
      </c>
      <c r="V25">
        <v>0</v>
      </c>
      <c r="W25">
        <v>0.8</v>
      </c>
      <c r="X25">
        <v>1</v>
      </c>
      <c r="Y25">
        <v>3.7</v>
      </c>
      <c r="Z25">
        <v>0.56000000000000005</v>
      </c>
      <c r="AA25">
        <v>0.05</v>
      </c>
      <c r="AD25">
        <f t="shared" si="1"/>
        <v>1.3016071428571429E-2</v>
      </c>
      <c r="AG25">
        <f t="shared" si="2"/>
        <v>2.5</v>
      </c>
      <c r="AH25">
        <f t="shared" si="0"/>
        <v>1.2690355329949239</v>
      </c>
      <c r="AI25">
        <f t="shared" si="3"/>
        <v>0.78800000000000003</v>
      </c>
    </row>
    <row r="26" spans="1:35" x14ac:dyDescent="0.3">
      <c r="A26">
        <v>7.6</v>
      </c>
      <c r="B26" t="s">
        <v>55</v>
      </c>
      <c r="C26" t="s">
        <v>51</v>
      </c>
      <c r="D26" t="s">
        <v>28</v>
      </c>
      <c r="E26" t="s">
        <v>29</v>
      </c>
      <c r="F26">
        <v>0.8</v>
      </c>
      <c r="G26">
        <v>0</v>
      </c>
      <c r="H26">
        <v>0</v>
      </c>
      <c r="I26">
        <v>6.6666669999999997E-2</v>
      </c>
      <c r="J26">
        <v>6.6666669999999997E-2</v>
      </c>
      <c r="K26">
        <v>0</v>
      </c>
      <c r="L26">
        <v>0</v>
      </c>
      <c r="M26">
        <v>0</v>
      </c>
      <c r="N26">
        <v>0.3</v>
      </c>
      <c r="O26">
        <v>1</v>
      </c>
      <c r="P26">
        <v>0</v>
      </c>
      <c r="Q26">
        <v>0</v>
      </c>
      <c r="T26">
        <v>5443.6</v>
      </c>
      <c r="U26">
        <v>9.9999999999999995E-8</v>
      </c>
      <c r="V26">
        <v>0</v>
      </c>
      <c r="W26">
        <v>0.8</v>
      </c>
      <c r="X26">
        <v>1</v>
      </c>
      <c r="Y26">
        <v>3.7</v>
      </c>
      <c r="Z26">
        <v>0.56000000000000005</v>
      </c>
      <c r="AA26">
        <v>0.05</v>
      </c>
      <c r="AD26">
        <f t="shared" si="1"/>
        <v>5.0214285714285718E-2</v>
      </c>
      <c r="AG26">
        <f t="shared" si="2"/>
        <v>2.5</v>
      </c>
      <c r="AH26">
        <f t="shared" si="0"/>
        <v>0.32894736842105265</v>
      </c>
      <c r="AI26">
        <f t="shared" si="3"/>
        <v>3.0399999999999996</v>
      </c>
    </row>
    <row r="27" spans="1:35" x14ac:dyDescent="0.3">
      <c r="A27">
        <v>120</v>
      </c>
      <c r="B27" t="s">
        <v>56</v>
      </c>
      <c r="C27" t="s">
        <v>27</v>
      </c>
      <c r="D27" t="s">
        <v>28</v>
      </c>
      <c r="E27" t="s">
        <v>29</v>
      </c>
      <c r="F27">
        <v>0.8</v>
      </c>
      <c r="G27">
        <v>0</v>
      </c>
      <c r="H27">
        <v>0</v>
      </c>
      <c r="I27">
        <v>6.6666669999999997E-2</v>
      </c>
      <c r="J27">
        <v>6.6666669999999997E-2</v>
      </c>
      <c r="K27">
        <v>0</v>
      </c>
      <c r="L27">
        <v>0</v>
      </c>
      <c r="M27">
        <v>0</v>
      </c>
      <c r="N27">
        <v>0.3</v>
      </c>
      <c r="O27">
        <v>1</v>
      </c>
      <c r="P27">
        <v>0</v>
      </c>
      <c r="Q27">
        <v>0</v>
      </c>
      <c r="T27">
        <v>330427.89</v>
      </c>
      <c r="U27">
        <v>4.9999999999999998E-8</v>
      </c>
      <c r="V27">
        <v>0</v>
      </c>
      <c r="W27">
        <v>0.8</v>
      </c>
      <c r="X27">
        <v>1</v>
      </c>
      <c r="Y27">
        <v>3.7</v>
      </c>
      <c r="Z27">
        <v>0.56000000000000005</v>
      </c>
      <c r="AA27">
        <v>0.05</v>
      </c>
      <c r="AD27">
        <f t="shared" si="1"/>
        <v>0.79285714285714282</v>
      </c>
      <c r="AG27">
        <f t="shared" si="2"/>
        <v>2.5</v>
      </c>
      <c r="AH27">
        <f t="shared" si="0"/>
        <v>2.0833333333333332E-2</v>
      </c>
      <c r="AI27">
        <f t="shared" si="3"/>
        <v>48</v>
      </c>
    </row>
    <row r="28" spans="1:35" x14ac:dyDescent="0.3">
      <c r="A28">
        <v>55</v>
      </c>
      <c r="B28" t="s">
        <v>57</v>
      </c>
      <c r="C28" t="s">
        <v>27</v>
      </c>
      <c r="D28" t="s">
        <v>28</v>
      </c>
      <c r="E28" t="s">
        <v>29</v>
      </c>
      <c r="F28">
        <v>0.8</v>
      </c>
      <c r="G28">
        <v>0</v>
      </c>
      <c r="H28">
        <v>0</v>
      </c>
      <c r="I28">
        <v>6.6666669999999997E-2</v>
      </c>
      <c r="J28">
        <v>6.6666669999999997E-2</v>
      </c>
      <c r="K28">
        <v>0</v>
      </c>
      <c r="L28">
        <v>0</v>
      </c>
      <c r="M28">
        <v>0</v>
      </c>
      <c r="N28">
        <v>0.3</v>
      </c>
      <c r="O28">
        <v>1</v>
      </c>
      <c r="P28">
        <v>0</v>
      </c>
      <c r="Q28">
        <v>0</v>
      </c>
      <c r="T28">
        <v>91.69</v>
      </c>
      <c r="U28">
        <v>9.9999999999999995E-8</v>
      </c>
      <c r="V28">
        <v>0</v>
      </c>
      <c r="W28">
        <v>0.8</v>
      </c>
      <c r="X28">
        <v>1</v>
      </c>
      <c r="Y28">
        <v>3.7</v>
      </c>
      <c r="Z28">
        <v>0.56000000000000005</v>
      </c>
      <c r="AA28">
        <v>0.05</v>
      </c>
      <c r="AD28">
        <f t="shared" si="1"/>
        <v>0.36339285714285713</v>
      </c>
      <c r="AG28">
        <f t="shared" si="2"/>
        <v>2.5</v>
      </c>
      <c r="AH28">
        <f t="shared" si="0"/>
        <v>4.5454545454545456E-2</v>
      </c>
      <c r="AI28">
        <f t="shared" si="3"/>
        <v>22</v>
      </c>
    </row>
    <row r="29" spans="1:35" x14ac:dyDescent="0.3">
      <c r="A29">
        <v>69</v>
      </c>
      <c r="B29" t="s">
        <v>58</v>
      </c>
      <c r="C29" t="s">
        <v>27</v>
      </c>
      <c r="D29" t="s">
        <v>28</v>
      </c>
      <c r="E29" t="s">
        <v>29</v>
      </c>
      <c r="F29">
        <v>0.8</v>
      </c>
      <c r="G29">
        <v>0</v>
      </c>
      <c r="H29">
        <v>0</v>
      </c>
      <c r="I29">
        <v>6.6666669999999997E-2</v>
      </c>
      <c r="J29">
        <v>6.6666669999999997E-2</v>
      </c>
      <c r="K29">
        <v>0</v>
      </c>
      <c r="L29">
        <v>0</v>
      </c>
      <c r="M29">
        <v>0</v>
      </c>
      <c r="N29">
        <v>0.3</v>
      </c>
      <c r="O29">
        <v>1</v>
      </c>
      <c r="P29">
        <v>0</v>
      </c>
      <c r="Q29">
        <v>0</v>
      </c>
      <c r="T29">
        <v>28.9</v>
      </c>
      <c r="U29">
        <v>9.9999999999999995E-8</v>
      </c>
      <c r="V29">
        <v>0</v>
      </c>
      <c r="W29">
        <v>0.8</v>
      </c>
      <c r="X29">
        <v>1</v>
      </c>
      <c r="Y29">
        <v>3.7</v>
      </c>
      <c r="Z29">
        <v>0.56000000000000005</v>
      </c>
      <c r="AA29">
        <v>0.05</v>
      </c>
      <c r="AD29">
        <f t="shared" si="1"/>
        <v>0.45589285714285716</v>
      </c>
      <c r="AG29">
        <f t="shared" si="2"/>
        <v>2.5</v>
      </c>
      <c r="AH29">
        <f t="shared" si="0"/>
        <v>3.6231884057971016E-2</v>
      </c>
      <c r="AI29">
        <f t="shared" si="3"/>
        <v>27.599999999999998</v>
      </c>
    </row>
    <row r="30" spans="1:35" x14ac:dyDescent="0.3">
      <c r="A30">
        <v>83.91</v>
      </c>
      <c r="B30" t="s">
        <v>59</v>
      </c>
      <c r="C30" t="s">
        <v>37</v>
      </c>
      <c r="D30" t="s">
        <v>28</v>
      </c>
      <c r="E30" t="s">
        <v>29</v>
      </c>
      <c r="F30">
        <v>0.8</v>
      </c>
      <c r="G30">
        <v>0</v>
      </c>
      <c r="H30">
        <v>0</v>
      </c>
      <c r="I30">
        <v>6.6666669999999997E-2</v>
      </c>
      <c r="J30">
        <v>6.6666669999999997E-2</v>
      </c>
      <c r="K30">
        <v>0</v>
      </c>
      <c r="L30">
        <v>0</v>
      </c>
      <c r="M30">
        <v>0</v>
      </c>
      <c r="N30">
        <v>0.3</v>
      </c>
      <c r="O30">
        <v>1</v>
      </c>
      <c r="P30">
        <v>0</v>
      </c>
      <c r="Q30">
        <v>0</v>
      </c>
      <c r="T30">
        <v>7769.57</v>
      </c>
      <c r="U30">
        <v>9.9999999999999995E-8</v>
      </c>
      <c r="V30">
        <v>0</v>
      </c>
      <c r="W30">
        <v>0.8</v>
      </c>
      <c r="X30">
        <v>1</v>
      </c>
      <c r="Y30">
        <v>3.7</v>
      </c>
      <c r="Z30">
        <v>0.56000000000000005</v>
      </c>
      <c r="AA30">
        <v>0.05</v>
      </c>
      <c r="AD30">
        <f t="shared" si="1"/>
        <v>0.5544053571428571</v>
      </c>
      <c r="AG30">
        <f t="shared" si="2"/>
        <v>2.5</v>
      </c>
      <c r="AH30">
        <f t="shared" si="0"/>
        <v>2.9793826719103803E-2</v>
      </c>
      <c r="AI30">
        <f t="shared" si="3"/>
        <v>33.564</v>
      </c>
    </row>
    <row r="31" spans="1:35" x14ac:dyDescent="0.3">
      <c r="A31">
        <v>116.87</v>
      </c>
      <c r="B31" t="s">
        <v>60</v>
      </c>
      <c r="C31" t="s">
        <v>37</v>
      </c>
      <c r="D31" t="s">
        <v>28</v>
      </c>
      <c r="E31" t="s">
        <v>29</v>
      </c>
      <c r="F31">
        <v>0.8</v>
      </c>
      <c r="G31">
        <v>0</v>
      </c>
      <c r="H31">
        <v>0</v>
      </c>
      <c r="I31">
        <v>6.6666669999999997E-2</v>
      </c>
      <c r="J31">
        <v>6.6666669999999997E-2</v>
      </c>
      <c r="K31">
        <v>0</v>
      </c>
      <c r="L31">
        <v>0</v>
      </c>
      <c r="M31">
        <v>0</v>
      </c>
      <c r="N31">
        <v>0.3</v>
      </c>
      <c r="O31">
        <v>1</v>
      </c>
      <c r="P31">
        <v>0</v>
      </c>
      <c r="Q31">
        <v>0</v>
      </c>
      <c r="T31">
        <v>144.29</v>
      </c>
      <c r="U31">
        <v>9.9999999999999995E-8</v>
      </c>
      <c r="V31">
        <v>0</v>
      </c>
      <c r="W31">
        <v>0.8</v>
      </c>
      <c r="X31">
        <v>1</v>
      </c>
      <c r="Y31">
        <v>3.7</v>
      </c>
      <c r="Z31">
        <v>0.56000000000000005</v>
      </c>
      <c r="AA31">
        <v>0.05</v>
      </c>
      <c r="AD31">
        <f t="shared" si="1"/>
        <v>0.77217678571428583</v>
      </c>
      <c r="AG31">
        <f t="shared" si="2"/>
        <v>2.5</v>
      </c>
      <c r="AH31">
        <f t="shared" si="0"/>
        <v>2.1391289466929066E-2</v>
      </c>
      <c r="AI31">
        <f t="shared" si="3"/>
        <v>46.748000000000005</v>
      </c>
    </row>
    <row r="32" spans="1:35" x14ac:dyDescent="0.3">
      <c r="A32">
        <v>194.63</v>
      </c>
      <c r="B32" t="s">
        <v>61</v>
      </c>
      <c r="C32" t="s">
        <v>27</v>
      </c>
      <c r="D32" t="s">
        <v>28</v>
      </c>
      <c r="E32" t="s">
        <v>29</v>
      </c>
      <c r="F32">
        <v>0.8</v>
      </c>
      <c r="G32">
        <v>0</v>
      </c>
      <c r="H32">
        <v>0</v>
      </c>
      <c r="I32">
        <v>6.6666669999999997E-2</v>
      </c>
      <c r="J32">
        <v>6.6666669999999997E-2</v>
      </c>
      <c r="K32">
        <v>0</v>
      </c>
      <c r="L32">
        <v>0</v>
      </c>
      <c r="M32">
        <v>0</v>
      </c>
      <c r="N32">
        <v>0.3</v>
      </c>
      <c r="O32">
        <v>1</v>
      </c>
      <c r="P32">
        <v>0</v>
      </c>
      <c r="Q32">
        <v>0</v>
      </c>
      <c r="T32">
        <v>49946</v>
      </c>
      <c r="U32">
        <v>9.9999999999999995E-8</v>
      </c>
      <c r="V32">
        <v>0</v>
      </c>
      <c r="W32">
        <v>0.8</v>
      </c>
      <c r="X32">
        <v>1</v>
      </c>
      <c r="Y32">
        <v>3.7</v>
      </c>
      <c r="Z32">
        <v>0.56000000000000005</v>
      </c>
      <c r="AA32">
        <v>0.05</v>
      </c>
      <c r="AD32">
        <f t="shared" si="1"/>
        <v>1.2859482142857142</v>
      </c>
      <c r="AG32">
        <f t="shared" si="2"/>
        <v>2.5</v>
      </c>
      <c r="AH32">
        <f t="shared" si="0"/>
        <v>1.284488516672661E-2</v>
      </c>
      <c r="AI32">
        <f t="shared" si="3"/>
        <v>77.85199999999999</v>
      </c>
    </row>
    <row r="33" spans="1:35" x14ac:dyDescent="0.3">
      <c r="A33">
        <v>89.73</v>
      </c>
      <c r="B33" t="s">
        <v>62</v>
      </c>
      <c r="C33" t="s">
        <v>27</v>
      </c>
      <c r="D33" t="s">
        <v>28</v>
      </c>
      <c r="E33" t="s">
        <v>29</v>
      </c>
      <c r="F33">
        <v>0.8</v>
      </c>
      <c r="G33">
        <v>0</v>
      </c>
      <c r="H33">
        <v>0</v>
      </c>
      <c r="I33">
        <v>6.6666669999999997E-2</v>
      </c>
      <c r="J33">
        <v>6.6666669999999997E-2</v>
      </c>
      <c r="K33">
        <v>0</v>
      </c>
      <c r="L33">
        <v>0</v>
      </c>
      <c r="M33">
        <v>0</v>
      </c>
      <c r="N33">
        <v>0.3</v>
      </c>
      <c r="O33">
        <v>1</v>
      </c>
      <c r="P33">
        <v>0</v>
      </c>
      <c r="Q33">
        <v>0</v>
      </c>
      <c r="T33">
        <v>30.68</v>
      </c>
      <c r="U33">
        <v>9.9999999999999995E-8</v>
      </c>
      <c r="V33">
        <v>0</v>
      </c>
      <c r="W33">
        <v>0.8</v>
      </c>
      <c r="X33">
        <v>1</v>
      </c>
      <c r="Y33">
        <v>3.7</v>
      </c>
      <c r="Z33">
        <v>0.56000000000000005</v>
      </c>
      <c r="AA33">
        <v>0.05</v>
      </c>
      <c r="AD33">
        <f t="shared" si="1"/>
        <v>0.59285892857142863</v>
      </c>
      <c r="AG33">
        <f t="shared" si="2"/>
        <v>2.5</v>
      </c>
      <c r="AH33">
        <f t="shared" si="0"/>
        <v>2.7861361863367882E-2</v>
      </c>
      <c r="AI33">
        <f t="shared" si="3"/>
        <v>35.892000000000003</v>
      </c>
    </row>
    <row r="34" spans="1:35" x14ac:dyDescent="0.3">
      <c r="A34">
        <v>1.43</v>
      </c>
      <c r="B34" t="s">
        <v>63</v>
      </c>
      <c r="C34" t="s">
        <v>51</v>
      </c>
      <c r="D34" t="s">
        <v>28</v>
      </c>
      <c r="E34" t="s">
        <v>29</v>
      </c>
      <c r="F34">
        <v>0.8</v>
      </c>
      <c r="G34">
        <v>0</v>
      </c>
      <c r="H34">
        <v>0</v>
      </c>
      <c r="I34">
        <v>6.6666669999999997E-2</v>
      </c>
      <c r="J34">
        <v>6.6666669999999997E-2</v>
      </c>
      <c r="K34">
        <v>0</v>
      </c>
      <c r="L34">
        <v>0</v>
      </c>
      <c r="M34">
        <v>0</v>
      </c>
      <c r="N34">
        <v>0.3</v>
      </c>
      <c r="O34">
        <v>1</v>
      </c>
      <c r="P34">
        <v>0</v>
      </c>
      <c r="Q34">
        <v>0</v>
      </c>
      <c r="T34">
        <v>4.5199999999999996</v>
      </c>
      <c r="U34">
        <v>9.9999999999999995E-8</v>
      </c>
      <c r="V34">
        <v>0</v>
      </c>
      <c r="W34">
        <v>0.8</v>
      </c>
      <c r="X34">
        <v>1</v>
      </c>
      <c r="Y34">
        <v>3.7</v>
      </c>
      <c r="Z34">
        <v>0.56000000000000005</v>
      </c>
      <c r="AA34">
        <v>0.05</v>
      </c>
      <c r="AD34">
        <f t="shared" si="1"/>
        <v>9.4482142857142872E-3</v>
      </c>
      <c r="AG34">
        <f t="shared" si="2"/>
        <v>2.5</v>
      </c>
      <c r="AH34">
        <f t="shared" ref="AH34:AH65" si="4">AG34/A34</f>
        <v>1.7482517482517483</v>
      </c>
      <c r="AI34">
        <f t="shared" si="3"/>
        <v>0.57199999999999995</v>
      </c>
    </row>
    <row r="35" spans="1:35" x14ac:dyDescent="0.3">
      <c r="A35">
        <v>17.86</v>
      </c>
      <c r="B35" t="s">
        <v>64</v>
      </c>
      <c r="C35" t="s">
        <v>65</v>
      </c>
      <c r="D35" t="s">
        <v>66</v>
      </c>
      <c r="E35" t="s">
        <v>67</v>
      </c>
      <c r="F35">
        <v>0.35</v>
      </c>
      <c r="G35">
        <v>0</v>
      </c>
      <c r="H35">
        <v>0</v>
      </c>
      <c r="I35">
        <v>6.6666669999999997E-2</v>
      </c>
      <c r="J35">
        <v>6.6666669999999997E-2</v>
      </c>
      <c r="K35">
        <v>25</v>
      </c>
      <c r="L35">
        <v>0</v>
      </c>
      <c r="M35">
        <v>0.8</v>
      </c>
      <c r="N35">
        <v>0.3</v>
      </c>
      <c r="O35">
        <v>0.33</v>
      </c>
      <c r="P35">
        <v>0</v>
      </c>
      <c r="Q35">
        <v>0.57399999999999995</v>
      </c>
      <c r="X35">
        <v>1</v>
      </c>
      <c r="Y35">
        <v>4.2</v>
      </c>
      <c r="Z35">
        <v>0.6</v>
      </c>
      <c r="AA35">
        <v>0.05</v>
      </c>
      <c r="AD35">
        <f t="shared" si="1"/>
        <v>0.12501999999999999</v>
      </c>
      <c r="AG35">
        <f t="shared" si="2"/>
        <v>2.5</v>
      </c>
      <c r="AH35">
        <f t="shared" si="4"/>
        <v>0.13997760358342665</v>
      </c>
      <c r="AI35">
        <f t="shared" si="3"/>
        <v>7.1440000000000001</v>
      </c>
    </row>
    <row r="36" spans="1:35" x14ac:dyDescent="0.3">
      <c r="A36">
        <v>16.899999999999999</v>
      </c>
      <c r="B36" t="s">
        <v>68</v>
      </c>
      <c r="C36" t="s">
        <v>65</v>
      </c>
      <c r="D36" t="s">
        <v>66</v>
      </c>
      <c r="E36" t="s">
        <v>67</v>
      </c>
      <c r="F36">
        <v>0.35</v>
      </c>
      <c r="G36">
        <v>0</v>
      </c>
      <c r="H36">
        <v>0</v>
      </c>
      <c r="I36">
        <v>6.6666669999999997E-2</v>
      </c>
      <c r="J36">
        <v>6.6666669999999997E-2</v>
      </c>
      <c r="K36">
        <v>25</v>
      </c>
      <c r="L36">
        <v>0</v>
      </c>
      <c r="M36">
        <v>0.8</v>
      </c>
      <c r="N36">
        <v>0.3</v>
      </c>
      <c r="O36">
        <v>0.33</v>
      </c>
      <c r="P36">
        <v>0</v>
      </c>
      <c r="Q36">
        <v>0.57399999999999995</v>
      </c>
      <c r="X36">
        <v>1</v>
      </c>
      <c r="Y36">
        <v>4.2</v>
      </c>
      <c r="Z36">
        <v>0.6</v>
      </c>
      <c r="AA36">
        <v>0.05</v>
      </c>
      <c r="AD36">
        <f t="shared" si="1"/>
        <v>0.1183</v>
      </c>
      <c r="AG36">
        <f t="shared" si="2"/>
        <v>2.5</v>
      </c>
      <c r="AH36">
        <f t="shared" si="4"/>
        <v>0.14792899408284024</v>
      </c>
      <c r="AI36">
        <f t="shared" si="3"/>
        <v>6.76</v>
      </c>
    </row>
    <row r="37" spans="1:35" x14ac:dyDescent="0.3">
      <c r="A37">
        <v>19.13</v>
      </c>
      <c r="B37" t="s">
        <v>69</v>
      </c>
      <c r="C37" t="s">
        <v>65</v>
      </c>
      <c r="D37" t="s">
        <v>66</v>
      </c>
      <c r="E37" t="s">
        <v>67</v>
      </c>
      <c r="F37">
        <v>0.35</v>
      </c>
      <c r="G37">
        <v>0</v>
      </c>
      <c r="H37">
        <v>0</v>
      </c>
      <c r="I37">
        <v>6.6666669999999997E-2</v>
      </c>
      <c r="J37">
        <v>6.6666669999999997E-2</v>
      </c>
      <c r="K37">
        <v>25</v>
      </c>
      <c r="L37">
        <v>0</v>
      </c>
      <c r="M37">
        <v>0.8</v>
      </c>
      <c r="N37">
        <v>0.3</v>
      </c>
      <c r="O37">
        <v>0.33</v>
      </c>
      <c r="P37">
        <v>0</v>
      </c>
      <c r="Q37">
        <v>0.57399999999999995</v>
      </c>
      <c r="X37">
        <v>1</v>
      </c>
      <c r="Y37">
        <v>4.2</v>
      </c>
      <c r="Z37">
        <v>0.6</v>
      </c>
      <c r="AA37">
        <v>0.05</v>
      </c>
      <c r="AD37">
        <f t="shared" si="1"/>
        <v>0.13391</v>
      </c>
      <c r="AG37">
        <f t="shared" si="2"/>
        <v>2.5</v>
      </c>
      <c r="AH37">
        <f t="shared" si="4"/>
        <v>0.13068478829064298</v>
      </c>
      <c r="AI37">
        <f t="shared" si="3"/>
        <v>7.6519999999999992</v>
      </c>
    </row>
    <row r="38" spans="1:35" x14ac:dyDescent="0.3">
      <c r="A38">
        <v>19.86</v>
      </c>
      <c r="B38" t="s">
        <v>70</v>
      </c>
      <c r="C38" t="s">
        <v>65</v>
      </c>
      <c r="D38" t="s">
        <v>66</v>
      </c>
      <c r="E38" t="s">
        <v>67</v>
      </c>
      <c r="F38">
        <v>0.35</v>
      </c>
      <c r="G38">
        <v>0</v>
      </c>
      <c r="H38">
        <v>0</v>
      </c>
      <c r="I38">
        <v>6.6666669999999997E-2</v>
      </c>
      <c r="J38">
        <v>6.6666669999999997E-2</v>
      </c>
      <c r="K38">
        <v>25</v>
      </c>
      <c r="L38">
        <v>0</v>
      </c>
      <c r="M38">
        <v>0.8</v>
      </c>
      <c r="N38">
        <v>0.3</v>
      </c>
      <c r="O38">
        <v>0.33</v>
      </c>
      <c r="P38">
        <v>0</v>
      </c>
      <c r="Q38">
        <v>0.57399999999999995</v>
      </c>
      <c r="X38">
        <v>1</v>
      </c>
      <c r="Y38">
        <v>4.2</v>
      </c>
      <c r="Z38">
        <v>0.6</v>
      </c>
      <c r="AA38">
        <v>0.05</v>
      </c>
      <c r="AD38">
        <f t="shared" si="1"/>
        <v>0.13902</v>
      </c>
      <c r="AG38">
        <f t="shared" si="2"/>
        <v>2.5</v>
      </c>
      <c r="AH38">
        <f t="shared" si="4"/>
        <v>0.12588116817724068</v>
      </c>
      <c r="AI38">
        <f t="shared" si="3"/>
        <v>7.944</v>
      </c>
    </row>
    <row r="39" spans="1:35" x14ac:dyDescent="0.3">
      <c r="A39">
        <v>20.3</v>
      </c>
      <c r="B39" t="s">
        <v>71</v>
      </c>
      <c r="C39" t="s">
        <v>65</v>
      </c>
      <c r="D39" t="s">
        <v>66</v>
      </c>
      <c r="E39" t="s">
        <v>67</v>
      </c>
      <c r="F39">
        <v>0.35</v>
      </c>
      <c r="G39">
        <v>0</v>
      </c>
      <c r="H39">
        <v>0</v>
      </c>
      <c r="I39">
        <v>6.6666669999999997E-2</v>
      </c>
      <c r="J39">
        <v>6.6666669999999997E-2</v>
      </c>
      <c r="K39">
        <v>25</v>
      </c>
      <c r="L39">
        <v>0</v>
      </c>
      <c r="M39">
        <v>0.8</v>
      </c>
      <c r="N39">
        <v>0.3</v>
      </c>
      <c r="O39">
        <v>0.33</v>
      </c>
      <c r="P39">
        <v>0</v>
      </c>
      <c r="Q39">
        <v>0.57399999999999995</v>
      </c>
      <c r="X39">
        <v>1</v>
      </c>
      <c r="Y39">
        <v>4.2</v>
      </c>
      <c r="Z39">
        <v>0.6</v>
      </c>
      <c r="AA39">
        <v>0.05</v>
      </c>
      <c r="AD39">
        <f t="shared" si="1"/>
        <v>0.1421</v>
      </c>
      <c r="AG39">
        <f t="shared" si="2"/>
        <v>2.5</v>
      </c>
      <c r="AH39">
        <f t="shared" si="4"/>
        <v>0.12315270935960591</v>
      </c>
      <c r="AI39">
        <f t="shared" si="3"/>
        <v>8.1199999999999992</v>
      </c>
    </row>
    <row r="40" spans="1:35" x14ac:dyDescent="0.3">
      <c r="A40">
        <v>20.72</v>
      </c>
      <c r="B40" t="s">
        <v>72</v>
      </c>
      <c r="C40" t="s">
        <v>65</v>
      </c>
      <c r="D40" t="s">
        <v>66</v>
      </c>
      <c r="E40" t="s">
        <v>67</v>
      </c>
      <c r="F40">
        <v>0.35</v>
      </c>
      <c r="G40">
        <v>0</v>
      </c>
      <c r="H40">
        <v>0</v>
      </c>
      <c r="I40">
        <v>6.6666669999999997E-2</v>
      </c>
      <c r="J40">
        <v>6.6666669999999997E-2</v>
      </c>
      <c r="K40">
        <v>25</v>
      </c>
      <c r="L40">
        <v>0</v>
      </c>
      <c r="M40">
        <v>0.8</v>
      </c>
      <c r="N40">
        <v>0.3</v>
      </c>
      <c r="O40">
        <v>0.33</v>
      </c>
      <c r="P40">
        <v>0</v>
      </c>
      <c r="Q40">
        <v>0.57399999999999995</v>
      </c>
      <c r="X40">
        <v>1</v>
      </c>
      <c r="Y40">
        <v>4.2</v>
      </c>
      <c r="Z40">
        <v>0.6</v>
      </c>
      <c r="AA40">
        <v>0.05</v>
      </c>
      <c r="AD40">
        <f t="shared" si="1"/>
        <v>0.14504</v>
      </c>
      <c r="AG40">
        <f t="shared" si="2"/>
        <v>2.5</v>
      </c>
      <c r="AH40">
        <f t="shared" si="4"/>
        <v>0.12065637065637067</v>
      </c>
      <c r="AI40">
        <f t="shared" si="3"/>
        <v>8.2880000000000003</v>
      </c>
    </row>
    <row r="41" spans="1:35" x14ac:dyDescent="0.3">
      <c r="A41">
        <v>59.67</v>
      </c>
      <c r="B41" t="s">
        <v>73</v>
      </c>
      <c r="C41" t="s">
        <v>65</v>
      </c>
      <c r="D41" t="s">
        <v>66</v>
      </c>
      <c r="E41" t="s">
        <v>67</v>
      </c>
      <c r="F41">
        <v>0.35</v>
      </c>
      <c r="G41">
        <v>0</v>
      </c>
      <c r="H41">
        <v>0</v>
      </c>
      <c r="I41">
        <v>6.6666669999999997E-2</v>
      </c>
      <c r="J41">
        <v>6.6666669999999997E-2</v>
      </c>
      <c r="K41">
        <v>25</v>
      </c>
      <c r="L41">
        <v>0</v>
      </c>
      <c r="M41">
        <v>0.8</v>
      </c>
      <c r="N41">
        <v>0.3</v>
      </c>
      <c r="O41">
        <v>0.33</v>
      </c>
      <c r="P41">
        <v>0</v>
      </c>
      <c r="Q41">
        <v>0.57399999999999995</v>
      </c>
      <c r="X41">
        <v>1</v>
      </c>
      <c r="Y41">
        <v>4.2</v>
      </c>
      <c r="Z41">
        <v>0.6</v>
      </c>
      <c r="AA41">
        <v>0.05</v>
      </c>
      <c r="AD41">
        <f t="shared" si="1"/>
        <v>0.41769000000000001</v>
      </c>
      <c r="AG41">
        <f t="shared" si="2"/>
        <v>2.5</v>
      </c>
      <c r="AH41">
        <f t="shared" si="4"/>
        <v>4.1897100720630132E-2</v>
      </c>
      <c r="AI41">
        <f t="shared" si="3"/>
        <v>23.868000000000002</v>
      </c>
    </row>
    <row r="42" spans="1:35" x14ac:dyDescent="0.3">
      <c r="A42">
        <v>97.85</v>
      </c>
      <c r="B42" t="s">
        <v>74</v>
      </c>
      <c r="C42" t="s">
        <v>65</v>
      </c>
      <c r="D42" t="s">
        <v>66</v>
      </c>
      <c r="E42" t="s">
        <v>67</v>
      </c>
      <c r="F42">
        <v>0.35</v>
      </c>
      <c r="G42">
        <v>0</v>
      </c>
      <c r="H42">
        <v>0</v>
      </c>
      <c r="I42">
        <v>6.6666669999999997E-2</v>
      </c>
      <c r="J42">
        <v>6.6666669999999997E-2</v>
      </c>
      <c r="K42">
        <v>25</v>
      </c>
      <c r="L42">
        <v>0</v>
      </c>
      <c r="M42">
        <v>0.8</v>
      </c>
      <c r="N42">
        <v>0.3</v>
      </c>
      <c r="O42">
        <v>0.33</v>
      </c>
      <c r="P42">
        <v>0</v>
      </c>
      <c r="Q42">
        <v>0.57399999999999995</v>
      </c>
      <c r="X42">
        <v>1</v>
      </c>
      <c r="Y42">
        <v>4.2</v>
      </c>
      <c r="Z42">
        <v>0.6</v>
      </c>
      <c r="AA42">
        <v>0.05</v>
      </c>
      <c r="AD42">
        <f t="shared" si="1"/>
        <v>0.68494999999999995</v>
      </c>
      <c r="AG42">
        <f t="shared" si="2"/>
        <v>2.5</v>
      </c>
      <c r="AH42">
        <f t="shared" si="4"/>
        <v>2.5549310168625449E-2</v>
      </c>
      <c r="AI42">
        <f t="shared" si="3"/>
        <v>39.139999999999993</v>
      </c>
    </row>
    <row r="43" spans="1:35" x14ac:dyDescent="0.3">
      <c r="A43">
        <v>96.83</v>
      </c>
      <c r="B43" t="s">
        <v>75</v>
      </c>
      <c r="C43" t="s">
        <v>65</v>
      </c>
      <c r="D43" t="s">
        <v>66</v>
      </c>
      <c r="E43" t="s">
        <v>67</v>
      </c>
      <c r="F43">
        <v>0.35</v>
      </c>
      <c r="G43">
        <v>0</v>
      </c>
      <c r="H43">
        <v>0</v>
      </c>
      <c r="I43">
        <v>6.6666669999999997E-2</v>
      </c>
      <c r="J43">
        <v>6.6666669999999997E-2</v>
      </c>
      <c r="K43">
        <v>25</v>
      </c>
      <c r="L43">
        <v>0</v>
      </c>
      <c r="M43">
        <v>0.8</v>
      </c>
      <c r="N43">
        <v>0.3</v>
      </c>
      <c r="O43">
        <v>0.33</v>
      </c>
      <c r="P43">
        <v>0</v>
      </c>
      <c r="Q43">
        <v>0.57399999999999995</v>
      </c>
      <c r="X43">
        <v>1</v>
      </c>
      <c r="Y43">
        <v>4.2</v>
      </c>
      <c r="Z43">
        <v>0.6</v>
      </c>
      <c r="AA43">
        <v>0.05</v>
      </c>
      <c r="AD43">
        <f t="shared" si="1"/>
        <v>0.67781000000000002</v>
      </c>
      <c r="AG43">
        <f t="shared" si="2"/>
        <v>2.5</v>
      </c>
      <c r="AH43">
        <f t="shared" si="4"/>
        <v>2.5818444696891461E-2</v>
      </c>
      <c r="AI43">
        <f t="shared" si="3"/>
        <v>38.731999999999999</v>
      </c>
    </row>
    <row r="44" spans="1:35" x14ac:dyDescent="0.3">
      <c r="A44">
        <v>20.64</v>
      </c>
      <c r="B44" t="s">
        <v>76</v>
      </c>
      <c r="C44" t="s">
        <v>65</v>
      </c>
      <c r="D44" t="s">
        <v>66</v>
      </c>
      <c r="E44" t="s">
        <v>77</v>
      </c>
      <c r="F44">
        <v>0.31</v>
      </c>
      <c r="G44">
        <v>0</v>
      </c>
      <c r="H44">
        <v>0</v>
      </c>
      <c r="I44">
        <v>6.6666669999999997E-2</v>
      </c>
      <c r="J44">
        <v>6.6666669999999997E-2</v>
      </c>
      <c r="K44">
        <v>25</v>
      </c>
      <c r="L44">
        <v>0</v>
      </c>
      <c r="M44">
        <v>0.8</v>
      </c>
      <c r="N44">
        <v>0.3</v>
      </c>
      <c r="O44">
        <v>0.33</v>
      </c>
      <c r="P44">
        <v>0</v>
      </c>
      <c r="Q44">
        <v>0</v>
      </c>
      <c r="X44">
        <v>1</v>
      </c>
      <c r="Y44">
        <v>3.3</v>
      </c>
      <c r="Z44">
        <v>0.7</v>
      </c>
      <c r="AA44">
        <v>0.05</v>
      </c>
      <c r="AD44">
        <f t="shared" si="1"/>
        <v>9.7302857142857135E-2</v>
      </c>
      <c r="AG44">
        <f t="shared" si="2"/>
        <v>2.5</v>
      </c>
      <c r="AH44">
        <f t="shared" si="4"/>
        <v>0.12112403100775193</v>
      </c>
      <c r="AI44">
        <f t="shared" si="3"/>
        <v>8.2560000000000002</v>
      </c>
    </row>
    <row r="45" spans="1:35" x14ac:dyDescent="0.3">
      <c r="A45">
        <v>43.12</v>
      </c>
      <c r="B45" t="s">
        <v>78</v>
      </c>
      <c r="C45" t="s">
        <v>27</v>
      </c>
      <c r="D45" t="s">
        <v>66</v>
      </c>
      <c r="E45" t="s">
        <v>67</v>
      </c>
      <c r="F45">
        <v>0.35</v>
      </c>
      <c r="G45">
        <v>0</v>
      </c>
      <c r="H45">
        <v>0</v>
      </c>
      <c r="I45">
        <v>6.6666669999999997E-2</v>
      </c>
      <c r="J45">
        <v>6.6666669999999997E-2</v>
      </c>
      <c r="K45">
        <v>25</v>
      </c>
      <c r="L45">
        <v>0</v>
      </c>
      <c r="M45">
        <v>0.8</v>
      </c>
      <c r="N45">
        <v>0.3</v>
      </c>
      <c r="O45">
        <v>0.33</v>
      </c>
      <c r="P45">
        <v>0</v>
      </c>
      <c r="Q45">
        <v>0.57399999999999995</v>
      </c>
      <c r="X45">
        <v>1</v>
      </c>
      <c r="Y45">
        <v>4.2</v>
      </c>
      <c r="Z45">
        <v>0.6</v>
      </c>
      <c r="AA45">
        <v>0.05</v>
      </c>
      <c r="AD45">
        <f t="shared" si="1"/>
        <v>0.30184</v>
      </c>
      <c r="AG45">
        <f t="shared" si="2"/>
        <v>2.5</v>
      </c>
      <c r="AH45">
        <f t="shared" si="4"/>
        <v>5.7977736549165125E-2</v>
      </c>
      <c r="AI45">
        <f t="shared" si="3"/>
        <v>17.247999999999998</v>
      </c>
    </row>
    <row r="46" spans="1:35" x14ac:dyDescent="0.3">
      <c r="A46">
        <v>43.12</v>
      </c>
      <c r="B46" t="s">
        <v>79</v>
      </c>
      <c r="C46" t="s">
        <v>27</v>
      </c>
      <c r="D46" t="s">
        <v>66</v>
      </c>
      <c r="E46" t="s">
        <v>67</v>
      </c>
      <c r="F46">
        <v>0.35</v>
      </c>
      <c r="G46">
        <v>0</v>
      </c>
      <c r="H46">
        <v>0</v>
      </c>
      <c r="I46">
        <v>6.6666669999999997E-2</v>
      </c>
      <c r="J46">
        <v>6.6666669999999997E-2</v>
      </c>
      <c r="K46">
        <v>25</v>
      </c>
      <c r="L46">
        <v>0</v>
      </c>
      <c r="M46">
        <v>0.8</v>
      </c>
      <c r="N46">
        <v>0.3</v>
      </c>
      <c r="O46">
        <v>0.33</v>
      </c>
      <c r="P46">
        <v>0</v>
      </c>
      <c r="Q46">
        <v>0.57399999999999995</v>
      </c>
      <c r="X46">
        <v>1</v>
      </c>
      <c r="Y46">
        <v>4.2</v>
      </c>
      <c r="Z46">
        <v>0.6</v>
      </c>
      <c r="AA46">
        <v>0.05</v>
      </c>
      <c r="AD46">
        <f t="shared" si="1"/>
        <v>0.30184</v>
      </c>
      <c r="AG46">
        <f t="shared" si="2"/>
        <v>2.5</v>
      </c>
      <c r="AH46">
        <f t="shared" si="4"/>
        <v>5.7977736549165125E-2</v>
      </c>
      <c r="AI46">
        <f t="shared" si="3"/>
        <v>17.247999999999998</v>
      </c>
    </row>
    <row r="47" spans="1:35" x14ac:dyDescent="0.3">
      <c r="A47">
        <v>47.16</v>
      </c>
      <c r="B47" t="s">
        <v>80</v>
      </c>
      <c r="C47" t="s">
        <v>27</v>
      </c>
      <c r="D47" t="s">
        <v>66</v>
      </c>
      <c r="E47" t="s">
        <v>67</v>
      </c>
      <c r="F47">
        <v>0.35</v>
      </c>
      <c r="G47">
        <v>0</v>
      </c>
      <c r="H47">
        <v>0</v>
      </c>
      <c r="I47">
        <v>6.6666669999999997E-2</v>
      </c>
      <c r="J47">
        <v>6.6666669999999997E-2</v>
      </c>
      <c r="K47">
        <v>25</v>
      </c>
      <c r="L47">
        <v>0</v>
      </c>
      <c r="M47">
        <v>0.8</v>
      </c>
      <c r="N47">
        <v>0.3</v>
      </c>
      <c r="O47">
        <v>0.33</v>
      </c>
      <c r="P47">
        <v>0</v>
      </c>
      <c r="Q47">
        <v>0.57399999999999995</v>
      </c>
      <c r="X47">
        <v>1</v>
      </c>
      <c r="Y47">
        <v>4.2</v>
      </c>
      <c r="Z47">
        <v>0.6</v>
      </c>
      <c r="AA47">
        <v>0.05</v>
      </c>
      <c r="AD47">
        <f t="shared" si="1"/>
        <v>0.33012000000000002</v>
      </c>
      <c r="AG47">
        <f t="shared" si="2"/>
        <v>2.5</v>
      </c>
      <c r="AH47">
        <f t="shared" si="4"/>
        <v>5.3011026293469043E-2</v>
      </c>
      <c r="AI47">
        <f t="shared" si="3"/>
        <v>18.864000000000001</v>
      </c>
    </row>
    <row r="48" spans="1:35" x14ac:dyDescent="0.3">
      <c r="A48">
        <v>52.09</v>
      </c>
      <c r="B48" t="s">
        <v>81</v>
      </c>
      <c r="C48" t="s">
        <v>27</v>
      </c>
      <c r="D48" t="s">
        <v>66</v>
      </c>
      <c r="E48" t="s">
        <v>67</v>
      </c>
      <c r="F48">
        <v>0.35</v>
      </c>
      <c r="G48">
        <v>0</v>
      </c>
      <c r="H48">
        <v>0</v>
      </c>
      <c r="I48">
        <v>6.6666669999999997E-2</v>
      </c>
      <c r="J48">
        <v>6.6666669999999997E-2</v>
      </c>
      <c r="K48">
        <v>25</v>
      </c>
      <c r="L48">
        <v>0</v>
      </c>
      <c r="M48">
        <v>0.8</v>
      </c>
      <c r="N48">
        <v>0.3</v>
      </c>
      <c r="O48">
        <v>0.33</v>
      </c>
      <c r="P48">
        <v>0</v>
      </c>
      <c r="Q48">
        <v>0.57399999999999995</v>
      </c>
      <c r="X48">
        <v>1</v>
      </c>
      <c r="Y48">
        <v>4.2</v>
      </c>
      <c r="Z48">
        <v>0.6</v>
      </c>
      <c r="AA48">
        <v>0.05</v>
      </c>
      <c r="AD48">
        <f t="shared" si="1"/>
        <v>0.36463000000000001</v>
      </c>
      <c r="AG48">
        <f t="shared" si="2"/>
        <v>2.5</v>
      </c>
      <c r="AH48">
        <f t="shared" si="4"/>
        <v>4.7993856786331349E-2</v>
      </c>
      <c r="AI48">
        <f t="shared" si="3"/>
        <v>20.836000000000002</v>
      </c>
    </row>
    <row r="49" spans="1:35" x14ac:dyDescent="0.3">
      <c r="A49">
        <v>53.78</v>
      </c>
      <c r="B49" t="s">
        <v>82</v>
      </c>
      <c r="C49" t="s">
        <v>27</v>
      </c>
      <c r="D49" t="s">
        <v>66</v>
      </c>
      <c r="E49" t="s">
        <v>67</v>
      </c>
      <c r="F49">
        <v>0.35</v>
      </c>
      <c r="G49">
        <v>0</v>
      </c>
      <c r="H49">
        <v>0</v>
      </c>
      <c r="I49">
        <v>6.6666669999999997E-2</v>
      </c>
      <c r="J49">
        <v>6.6666669999999997E-2</v>
      </c>
      <c r="K49">
        <v>25</v>
      </c>
      <c r="L49">
        <v>0</v>
      </c>
      <c r="M49">
        <v>0.8</v>
      </c>
      <c r="N49">
        <v>0.3</v>
      </c>
      <c r="O49">
        <v>0.33</v>
      </c>
      <c r="P49">
        <v>0</v>
      </c>
      <c r="Q49">
        <v>0.57399999999999995</v>
      </c>
      <c r="X49">
        <v>1</v>
      </c>
      <c r="Y49">
        <v>4.2</v>
      </c>
      <c r="Z49">
        <v>0.6</v>
      </c>
      <c r="AA49">
        <v>0.05</v>
      </c>
      <c r="AD49">
        <f t="shared" si="1"/>
        <v>0.37646000000000002</v>
      </c>
      <c r="AG49">
        <f t="shared" si="2"/>
        <v>2.5</v>
      </c>
      <c r="AH49">
        <f t="shared" si="4"/>
        <v>4.6485682409817777E-2</v>
      </c>
      <c r="AI49">
        <f t="shared" si="3"/>
        <v>21.512</v>
      </c>
    </row>
    <row r="50" spans="1:35" x14ac:dyDescent="0.3">
      <c r="A50">
        <v>23.61</v>
      </c>
      <c r="B50" t="s">
        <v>83</v>
      </c>
      <c r="C50" t="s">
        <v>27</v>
      </c>
      <c r="D50" t="s">
        <v>66</v>
      </c>
      <c r="E50" t="s">
        <v>67</v>
      </c>
      <c r="F50">
        <v>0.35</v>
      </c>
      <c r="G50">
        <v>0</v>
      </c>
      <c r="H50">
        <v>0</v>
      </c>
      <c r="I50">
        <v>6.6666669999999997E-2</v>
      </c>
      <c r="J50">
        <v>6.6666669999999997E-2</v>
      </c>
      <c r="K50">
        <v>25</v>
      </c>
      <c r="L50">
        <v>0</v>
      </c>
      <c r="M50">
        <v>0.8</v>
      </c>
      <c r="N50">
        <v>0.3</v>
      </c>
      <c r="O50">
        <v>0.33</v>
      </c>
      <c r="P50">
        <v>0</v>
      </c>
      <c r="Q50">
        <v>0.57399999999999995</v>
      </c>
      <c r="X50">
        <v>1</v>
      </c>
      <c r="Y50">
        <v>4.2</v>
      </c>
      <c r="Z50">
        <v>0.6</v>
      </c>
      <c r="AA50">
        <v>0.05</v>
      </c>
      <c r="AD50">
        <f t="shared" si="1"/>
        <v>0.16527</v>
      </c>
      <c r="AG50">
        <f t="shared" si="2"/>
        <v>2.5</v>
      </c>
      <c r="AH50">
        <f t="shared" si="4"/>
        <v>0.1058873358746294</v>
      </c>
      <c r="AI50">
        <f t="shared" si="3"/>
        <v>9.4439999999999991</v>
      </c>
    </row>
    <row r="51" spans="1:35" x14ac:dyDescent="0.3">
      <c r="A51">
        <v>18.329999999999998</v>
      </c>
      <c r="B51" t="s">
        <v>84</v>
      </c>
      <c r="C51" t="s">
        <v>27</v>
      </c>
      <c r="D51" t="s">
        <v>66</v>
      </c>
      <c r="E51" t="s">
        <v>67</v>
      </c>
      <c r="F51">
        <v>0.35</v>
      </c>
      <c r="G51">
        <v>0</v>
      </c>
      <c r="H51">
        <v>0</v>
      </c>
      <c r="I51">
        <v>6.6666669999999997E-2</v>
      </c>
      <c r="J51">
        <v>6.6666669999999997E-2</v>
      </c>
      <c r="K51">
        <v>25</v>
      </c>
      <c r="L51">
        <v>0</v>
      </c>
      <c r="M51">
        <v>0.8</v>
      </c>
      <c r="N51">
        <v>0.3</v>
      </c>
      <c r="O51">
        <v>0.33</v>
      </c>
      <c r="P51">
        <v>0</v>
      </c>
      <c r="Q51">
        <v>0.57399999999999995</v>
      </c>
      <c r="X51">
        <v>1</v>
      </c>
      <c r="Y51">
        <v>4.2</v>
      </c>
      <c r="Z51">
        <v>0.6</v>
      </c>
      <c r="AA51">
        <v>0.05</v>
      </c>
      <c r="AD51">
        <f t="shared" si="1"/>
        <v>0.12830999999999998</v>
      </c>
      <c r="AG51">
        <f t="shared" si="2"/>
        <v>2.5</v>
      </c>
      <c r="AH51">
        <f t="shared" si="4"/>
        <v>0.13638843426077471</v>
      </c>
      <c r="AI51">
        <f t="shared" si="3"/>
        <v>7.331999999999999</v>
      </c>
    </row>
    <row r="52" spans="1:35" x14ac:dyDescent="0.3">
      <c r="A52">
        <v>18.62</v>
      </c>
      <c r="B52" t="s">
        <v>85</v>
      </c>
      <c r="C52" t="s">
        <v>27</v>
      </c>
      <c r="D52" t="s">
        <v>66</v>
      </c>
      <c r="E52" t="s">
        <v>67</v>
      </c>
      <c r="F52">
        <v>0.35</v>
      </c>
      <c r="G52">
        <v>0</v>
      </c>
      <c r="H52">
        <v>0</v>
      </c>
      <c r="I52">
        <v>6.6666669999999997E-2</v>
      </c>
      <c r="J52">
        <v>6.6666669999999997E-2</v>
      </c>
      <c r="K52">
        <v>25</v>
      </c>
      <c r="L52">
        <v>0</v>
      </c>
      <c r="M52">
        <v>0.8</v>
      </c>
      <c r="N52">
        <v>0.3</v>
      </c>
      <c r="O52">
        <v>0.33</v>
      </c>
      <c r="P52">
        <v>0</v>
      </c>
      <c r="Q52">
        <v>0.57399999999999995</v>
      </c>
      <c r="X52">
        <v>1</v>
      </c>
      <c r="Y52">
        <v>4.2</v>
      </c>
      <c r="Z52">
        <v>0.6</v>
      </c>
      <c r="AA52">
        <v>0.05</v>
      </c>
      <c r="AD52">
        <f t="shared" si="1"/>
        <v>0.13034000000000001</v>
      </c>
      <c r="AG52">
        <f t="shared" si="2"/>
        <v>2.5</v>
      </c>
      <c r="AH52">
        <f t="shared" si="4"/>
        <v>0.13426423200859292</v>
      </c>
      <c r="AI52">
        <f t="shared" si="3"/>
        <v>7.4479999999999995</v>
      </c>
    </row>
    <row r="53" spans="1:35" x14ac:dyDescent="0.3">
      <c r="A53">
        <v>18.14</v>
      </c>
      <c r="B53" t="s">
        <v>86</v>
      </c>
      <c r="C53" t="s">
        <v>27</v>
      </c>
      <c r="D53" t="s">
        <v>66</v>
      </c>
      <c r="E53" t="s">
        <v>67</v>
      </c>
      <c r="F53">
        <v>0.35</v>
      </c>
      <c r="G53">
        <v>0</v>
      </c>
      <c r="H53">
        <v>0</v>
      </c>
      <c r="I53">
        <v>6.6666669999999997E-2</v>
      </c>
      <c r="J53">
        <v>6.6666669999999997E-2</v>
      </c>
      <c r="K53">
        <v>25</v>
      </c>
      <c r="L53">
        <v>0</v>
      </c>
      <c r="M53">
        <v>0.8</v>
      </c>
      <c r="N53">
        <v>0.3</v>
      </c>
      <c r="O53">
        <v>0.33</v>
      </c>
      <c r="P53">
        <v>0</v>
      </c>
      <c r="Q53">
        <v>0.57399999999999995</v>
      </c>
      <c r="X53">
        <v>1</v>
      </c>
      <c r="Y53">
        <v>4.2</v>
      </c>
      <c r="Z53">
        <v>0.6</v>
      </c>
      <c r="AA53">
        <v>0.05</v>
      </c>
      <c r="AD53">
        <f t="shared" si="1"/>
        <v>0.12698000000000001</v>
      </c>
      <c r="AG53">
        <f t="shared" si="2"/>
        <v>2.5</v>
      </c>
      <c r="AH53">
        <f t="shared" si="4"/>
        <v>0.13781697905181917</v>
      </c>
      <c r="AI53">
        <f t="shared" si="3"/>
        <v>7.2560000000000011</v>
      </c>
    </row>
    <row r="54" spans="1:35" x14ac:dyDescent="0.3">
      <c r="A54">
        <v>18.440000000000001</v>
      </c>
      <c r="B54" t="s">
        <v>87</v>
      </c>
      <c r="C54" t="s">
        <v>27</v>
      </c>
      <c r="D54" t="s">
        <v>66</v>
      </c>
      <c r="E54" t="s">
        <v>67</v>
      </c>
      <c r="F54">
        <v>0.35</v>
      </c>
      <c r="G54">
        <v>0</v>
      </c>
      <c r="H54">
        <v>0</v>
      </c>
      <c r="I54">
        <v>6.6666669999999997E-2</v>
      </c>
      <c r="J54">
        <v>6.6666669999999997E-2</v>
      </c>
      <c r="K54">
        <v>25</v>
      </c>
      <c r="L54">
        <v>0</v>
      </c>
      <c r="M54">
        <v>0.8</v>
      </c>
      <c r="N54">
        <v>0.3</v>
      </c>
      <c r="O54">
        <v>0.33</v>
      </c>
      <c r="P54">
        <v>0</v>
      </c>
      <c r="Q54">
        <v>0.57399999999999995</v>
      </c>
      <c r="X54">
        <v>1</v>
      </c>
      <c r="Y54">
        <v>4.2</v>
      </c>
      <c r="Z54">
        <v>0.6</v>
      </c>
      <c r="AA54">
        <v>0.05</v>
      </c>
      <c r="AD54">
        <f t="shared" si="1"/>
        <v>0.12908</v>
      </c>
      <c r="AG54">
        <f t="shared" si="2"/>
        <v>2.5</v>
      </c>
      <c r="AH54">
        <f t="shared" si="4"/>
        <v>0.13557483731019521</v>
      </c>
      <c r="AI54">
        <f t="shared" si="3"/>
        <v>7.3760000000000012</v>
      </c>
    </row>
    <row r="55" spans="1:35" x14ac:dyDescent="0.3">
      <c r="A55">
        <v>10.47</v>
      </c>
      <c r="B55" t="s">
        <v>88</v>
      </c>
      <c r="C55" t="s">
        <v>27</v>
      </c>
      <c r="D55" t="s">
        <v>66</v>
      </c>
      <c r="E55" t="s">
        <v>67</v>
      </c>
      <c r="F55">
        <v>0.35</v>
      </c>
      <c r="G55">
        <v>0</v>
      </c>
      <c r="H55">
        <v>0</v>
      </c>
      <c r="I55">
        <v>6.6666669999999997E-2</v>
      </c>
      <c r="J55">
        <v>6.6666669999999997E-2</v>
      </c>
      <c r="K55">
        <v>25</v>
      </c>
      <c r="L55">
        <v>0</v>
      </c>
      <c r="M55">
        <v>0.8</v>
      </c>
      <c r="N55">
        <v>0.3</v>
      </c>
      <c r="O55">
        <v>0.33</v>
      </c>
      <c r="P55">
        <v>0</v>
      </c>
      <c r="Q55">
        <v>0.57399999999999995</v>
      </c>
      <c r="X55">
        <v>1</v>
      </c>
      <c r="Y55">
        <v>4.2</v>
      </c>
      <c r="Z55">
        <v>0.6</v>
      </c>
      <c r="AA55">
        <v>0.05</v>
      </c>
      <c r="AD55">
        <f t="shared" si="1"/>
        <v>7.3290000000000008E-2</v>
      </c>
      <c r="AG55">
        <f t="shared" si="2"/>
        <v>2.5</v>
      </c>
      <c r="AH55">
        <f t="shared" si="4"/>
        <v>0.23877745940783188</v>
      </c>
      <c r="AI55">
        <f t="shared" si="3"/>
        <v>4.1880000000000006</v>
      </c>
    </row>
    <row r="56" spans="1:35" x14ac:dyDescent="0.3">
      <c r="A56">
        <v>10.47</v>
      </c>
      <c r="B56" t="s">
        <v>89</v>
      </c>
      <c r="C56" t="s">
        <v>27</v>
      </c>
      <c r="D56" t="s">
        <v>66</v>
      </c>
      <c r="E56" t="s">
        <v>67</v>
      </c>
      <c r="F56">
        <v>0.35</v>
      </c>
      <c r="G56">
        <v>0</v>
      </c>
      <c r="H56">
        <v>0</v>
      </c>
      <c r="I56">
        <v>6.6666669999999997E-2</v>
      </c>
      <c r="J56">
        <v>6.6666669999999997E-2</v>
      </c>
      <c r="K56">
        <v>25</v>
      </c>
      <c r="L56">
        <v>0</v>
      </c>
      <c r="M56">
        <v>0.8</v>
      </c>
      <c r="N56">
        <v>0.3</v>
      </c>
      <c r="O56">
        <v>0.33</v>
      </c>
      <c r="P56">
        <v>0</v>
      </c>
      <c r="Q56">
        <v>0.57399999999999995</v>
      </c>
      <c r="X56">
        <v>1</v>
      </c>
      <c r="Y56">
        <v>4.2</v>
      </c>
      <c r="Z56">
        <v>0.6</v>
      </c>
      <c r="AA56">
        <v>0.05</v>
      </c>
      <c r="AD56">
        <f t="shared" si="1"/>
        <v>7.3290000000000008E-2</v>
      </c>
      <c r="AG56">
        <f t="shared" si="2"/>
        <v>2.5</v>
      </c>
      <c r="AH56">
        <f t="shared" si="4"/>
        <v>0.23877745940783188</v>
      </c>
      <c r="AI56">
        <f t="shared" si="3"/>
        <v>4.1880000000000006</v>
      </c>
    </row>
    <row r="57" spans="1:35" x14ac:dyDescent="0.3">
      <c r="A57">
        <v>10.47</v>
      </c>
      <c r="B57" t="s">
        <v>90</v>
      </c>
      <c r="C57" t="s">
        <v>27</v>
      </c>
      <c r="D57" t="s">
        <v>66</v>
      </c>
      <c r="E57" t="s">
        <v>67</v>
      </c>
      <c r="F57">
        <v>0.35</v>
      </c>
      <c r="G57">
        <v>0</v>
      </c>
      <c r="H57">
        <v>0</v>
      </c>
      <c r="I57">
        <v>6.6666669999999997E-2</v>
      </c>
      <c r="J57">
        <v>6.6666669999999997E-2</v>
      </c>
      <c r="K57">
        <v>25</v>
      </c>
      <c r="L57">
        <v>0</v>
      </c>
      <c r="M57">
        <v>0.8</v>
      </c>
      <c r="N57">
        <v>0.3</v>
      </c>
      <c r="O57">
        <v>0.33</v>
      </c>
      <c r="P57">
        <v>0</v>
      </c>
      <c r="Q57">
        <v>0.57399999999999995</v>
      </c>
      <c r="X57">
        <v>1</v>
      </c>
      <c r="Y57">
        <v>4.2</v>
      </c>
      <c r="Z57">
        <v>0.6</v>
      </c>
      <c r="AA57">
        <v>0.05</v>
      </c>
      <c r="AD57">
        <f t="shared" si="1"/>
        <v>7.3290000000000008E-2</v>
      </c>
      <c r="AG57">
        <f t="shared" si="2"/>
        <v>2.5</v>
      </c>
      <c r="AH57">
        <f t="shared" si="4"/>
        <v>0.23877745940783188</v>
      </c>
      <c r="AI57">
        <f t="shared" si="3"/>
        <v>4.1880000000000006</v>
      </c>
    </row>
    <row r="58" spans="1:35" x14ac:dyDescent="0.3">
      <c r="A58">
        <v>10.47</v>
      </c>
      <c r="B58" t="s">
        <v>91</v>
      </c>
      <c r="C58" t="s">
        <v>27</v>
      </c>
      <c r="D58" t="s">
        <v>66</v>
      </c>
      <c r="E58" t="s">
        <v>67</v>
      </c>
      <c r="F58">
        <v>0.35</v>
      </c>
      <c r="G58">
        <v>0</v>
      </c>
      <c r="H58">
        <v>0</v>
      </c>
      <c r="I58">
        <v>6.6666669999999997E-2</v>
      </c>
      <c r="J58">
        <v>6.6666669999999997E-2</v>
      </c>
      <c r="K58">
        <v>25</v>
      </c>
      <c r="L58">
        <v>0</v>
      </c>
      <c r="M58">
        <v>0.8</v>
      </c>
      <c r="N58">
        <v>0.3</v>
      </c>
      <c r="O58">
        <v>0.33</v>
      </c>
      <c r="P58">
        <v>0</v>
      </c>
      <c r="Q58">
        <v>0.57399999999999995</v>
      </c>
      <c r="X58">
        <v>1</v>
      </c>
      <c r="Y58">
        <v>4.2</v>
      </c>
      <c r="Z58">
        <v>0.6</v>
      </c>
      <c r="AA58">
        <v>0.05</v>
      </c>
      <c r="AD58">
        <f t="shared" si="1"/>
        <v>7.3290000000000008E-2</v>
      </c>
      <c r="AG58">
        <f t="shared" si="2"/>
        <v>2.5</v>
      </c>
      <c r="AH58">
        <f t="shared" si="4"/>
        <v>0.23877745940783188</v>
      </c>
      <c r="AI58">
        <f t="shared" si="3"/>
        <v>4.1880000000000006</v>
      </c>
    </row>
    <row r="59" spans="1:35" x14ac:dyDescent="0.3">
      <c r="A59">
        <v>18.02</v>
      </c>
      <c r="B59" t="s">
        <v>92</v>
      </c>
      <c r="C59" t="s">
        <v>51</v>
      </c>
      <c r="D59" t="s">
        <v>66</v>
      </c>
      <c r="E59" t="s">
        <v>67</v>
      </c>
      <c r="F59">
        <v>0.35</v>
      </c>
      <c r="G59">
        <v>0</v>
      </c>
      <c r="H59">
        <v>0</v>
      </c>
      <c r="I59">
        <v>6.6666669999999997E-2</v>
      </c>
      <c r="J59">
        <v>6.6666669999999997E-2</v>
      </c>
      <c r="K59">
        <v>25</v>
      </c>
      <c r="L59">
        <v>0</v>
      </c>
      <c r="M59">
        <v>0.8</v>
      </c>
      <c r="N59">
        <v>0.3</v>
      </c>
      <c r="O59">
        <v>0.33</v>
      </c>
      <c r="P59">
        <v>0</v>
      </c>
      <c r="Q59">
        <v>0.57399999999999995</v>
      </c>
      <c r="X59">
        <v>1</v>
      </c>
      <c r="Y59">
        <v>4.2</v>
      </c>
      <c r="Z59">
        <v>0.6</v>
      </c>
      <c r="AA59">
        <v>0.05</v>
      </c>
      <c r="AD59">
        <f t="shared" si="1"/>
        <v>0.12614</v>
      </c>
      <c r="AG59">
        <f t="shared" si="2"/>
        <v>2.5</v>
      </c>
      <c r="AH59">
        <f t="shared" si="4"/>
        <v>0.13873473917869034</v>
      </c>
      <c r="AI59">
        <f t="shared" si="3"/>
        <v>7.2080000000000002</v>
      </c>
    </row>
    <row r="60" spans="1:35" x14ac:dyDescent="0.3">
      <c r="A60">
        <v>1.46</v>
      </c>
      <c r="B60" t="s">
        <v>93</v>
      </c>
      <c r="C60" t="s">
        <v>51</v>
      </c>
      <c r="D60" t="s">
        <v>66</v>
      </c>
      <c r="E60" t="s">
        <v>67</v>
      </c>
      <c r="F60">
        <v>0.35</v>
      </c>
      <c r="G60">
        <v>0</v>
      </c>
      <c r="H60">
        <v>0</v>
      </c>
      <c r="I60">
        <v>6.6666669999999997E-2</v>
      </c>
      <c r="J60">
        <v>6.6666669999999997E-2</v>
      </c>
      <c r="K60">
        <v>25</v>
      </c>
      <c r="L60">
        <v>0</v>
      </c>
      <c r="M60">
        <v>0.8</v>
      </c>
      <c r="N60">
        <v>0.3</v>
      </c>
      <c r="O60">
        <v>0.33</v>
      </c>
      <c r="P60">
        <v>0</v>
      </c>
      <c r="Q60">
        <v>0.57399999999999995</v>
      </c>
      <c r="X60">
        <v>1</v>
      </c>
      <c r="Y60">
        <v>4.2</v>
      </c>
      <c r="Z60">
        <v>0.6</v>
      </c>
      <c r="AA60">
        <v>0.05</v>
      </c>
      <c r="AD60">
        <f t="shared" si="1"/>
        <v>1.022E-2</v>
      </c>
      <c r="AG60">
        <f t="shared" si="2"/>
        <v>2.5</v>
      </c>
      <c r="AH60">
        <f t="shared" si="4"/>
        <v>1.7123287671232876</v>
      </c>
      <c r="AI60">
        <f t="shared" si="3"/>
        <v>0.58399999999999996</v>
      </c>
    </row>
    <row r="61" spans="1:35" x14ac:dyDescent="0.3">
      <c r="A61">
        <v>1.46</v>
      </c>
      <c r="B61" t="s">
        <v>94</v>
      </c>
      <c r="C61" t="s">
        <v>51</v>
      </c>
      <c r="D61" t="s">
        <v>66</v>
      </c>
      <c r="E61" t="s">
        <v>67</v>
      </c>
      <c r="F61">
        <v>0.35</v>
      </c>
      <c r="G61">
        <v>0</v>
      </c>
      <c r="H61">
        <v>0</v>
      </c>
      <c r="I61">
        <v>6.6666669999999997E-2</v>
      </c>
      <c r="J61">
        <v>6.6666669999999997E-2</v>
      </c>
      <c r="K61">
        <v>25</v>
      </c>
      <c r="L61">
        <v>0</v>
      </c>
      <c r="M61">
        <v>0.8</v>
      </c>
      <c r="N61">
        <v>0.3</v>
      </c>
      <c r="O61">
        <v>0.33</v>
      </c>
      <c r="P61">
        <v>0</v>
      </c>
      <c r="Q61">
        <v>0.57399999999999995</v>
      </c>
      <c r="X61">
        <v>1</v>
      </c>
      <c r="Y61">
        <v>4.2</v>
      </c>
      <c r="Z61">
        <v>0.6</v>
      </c>
      <c r="AA61">
        <v>0.05</v>
      </c>
      <c r="AD61">
        <f t="shared" si="1"/>
        <v>1.022E-2</v>
      </c>
      <c r="AG61">
        <f t="shared" si="2"/>
        <v>2.5</v>
      </c>
      <c r="AH61">
        <f t="shared" si="4"/>
        <v>1.7123287671232876</v>
      </c>
      <c r="AI61">
        <f t="shared" si="3"/>
        <v>0.58399999999999996</v>
      </c>
    </row>
    <row r="62" spans="1:35" x14ac:dyDescent="0.3">
      <c r="A62">
        <v>1.57</v>
      </c>
      <c r="B62" t="s">
        <v>95</v>
      </c>
      <c r="C62" t="s">
        <v>51</v>
      </c>
      <c r="D62" t="s">
        <v>66</v>
      </c>
      <c r="E62" t="s">
        <v>67</v>
      </c>
      <c r="F62">
        <v>0.35</v>
      </c>
      <c r="G62">
        <v>0</v>
      </c>
      <c r="H62">
        <v>0</v>
      </c>
      <c r="I62">
        <v>6.6666669999999997E-2</v>
      </c>
      <c r="J62">
        <v>6.6666669999999997E-2</v>
      </c>
      <c r="K62">
        <v>25</v>
      </c>
      <c r="L62">
        <v>0</v>
      </c>
      <c r="M62">
        <v>0.8</v>
      </c>
      <c r="N62">
        <v>0.3</v>
      </c>
      <c r="O62">
        <v>0.33</v>
      </c>
      <c r="P62">
        <v>0</v>
      </c>
      <c r="Q62">
        <v>0.57399999999999995</v>
      </c>
      <c r="X62">
        <v>1</v>
      </c>
      <c r="Y62">
        <v>4.2</v>
      </c>
      <c r="Z62">
        <v>0.6</v>
      </c>
      <c r="AA62">
        <v>0.05</v>
      </c>
      <c r="AD62">
        <f t="shared" si="1"/>
        <v>1.099E-2</v>
      </c>
      <c r="AG62">
        <f t="shared" si="2"/>
        <v>2.5</v>
      </c>
      <c r="AH62">
        <f t="shared" si="4"/>
        <v>1.592356687898089</v>
      </c>
      <c r="AI62">
        <f t="shared" si="3"/>
        <v>0.628</v>
      </c>
    </row>
    <row r="63" spans="1:35" x14ac:dyDescent="0.3">
      <c r="A63">
        <v>1.52</v>
      </c>
      <c r="B63" t="s">
        <v>96</v>
      </c>
      <c r="C63" t="s">
        <v>51</v>
      </c>
      <c r="D63" t="s">
        <v>66</v>
      </c>
      <c r="E63" t="s">
        <v>67</v>
      </c>
      <c r="F63">
        <v>0.35</v>
      </c>
      <c r="G63">
        <v>0</v>
      </c>
      <c r="H63">
        <v>0</v>
      </c>
      <c r="I63">
        <v>6.6666669999999997E-2</v>
      </c>
      <c r="J63">
        <v>6.6666669999999997E-2</v>
      </c>
      <c r="K63">
        <v>25</v>
      </c>
      <c r="L63">
        <v>0</v>
      </c>
      <c r="M63">
        <v>0.8</v>
      </c>
      <c r="N63">
        <v>0.3</v>
      </c>
      <c r="O63">
        <v>0.33</v>
      </c>
      <c r="P63">
        <v>0</v>
      </c>
      <c r="Q63">
        <v>0.57399999999999995</v>
      </c>
      <c r="X63">
        <v>1</v>
      </c>
      <c r="Y63">
        <v>4.2</v>
      </c>
      <c r="Z63">
        <v>0.6</v>
      </c>
      <c r="AA63">
        <v>0.05</v>
      </c>
      <c r="AD63">
        <f t="shared" si="1"/>
        <v>1.064E-2</v>
      </c>
      <c r="AG63">
        <f t="shared" si="2"/>
        <v>2.5</v>
      </c>
      <c r="AH63">
        <f t="shared" si="4"/>
        <v>1.6447368421052631</v>
      </c>
      <c r="AI63">
        <f t="shared" si="3"/>
        <v>0.60799999999999998</v>
      </c>
    </row>
    <row r="64" spans="1:35" x14ac:dyDescent="0.3">
      <c r="A64">
        <v>1.48</v>
      </c>
      <c r="B64" t="s">
        <v>97</v>
      </c>
      <c r="C64" t="s">
        <v>51</v>
      </c>
      <c r="D64" t="s">
        <v>66</v>
      </c>
      <c r="E64" t="s">
        <v>67</v>
      </c>
      <c r="F64">
        <v>0.35</v>
      </c>
      <c r="G64">
        <v>0</v>
      </c>
      <c r="H64">
        <v>0</v>
      </c>
      <c r="I64">
        <v>6.6666669999999997E-2</v>
      </c>
      <c r="J64">
        <v>6.6666669999999997E-2</v>
      </c>
      <c r="K64">
        <v>25</v>
      </c>
      <c r="L64">
        <v>0</v>
      </c>
      <c r="M64">
        <v>0.8</v>
      </c>
      <c r="N64">
        <v>0.3</v>
      </c>
      <c r="O64">
        <v>0.33</v>
      </c>
      <c r="P64">
        <v>0</v>
      </c>
      <c r="Q64">
        <v>0.57399999999999995</v>
      </c>
      <c r="X64">
        <v>1</v>
      </c>
      <c r="Y64">
        <v>4.2</v>
      </c>
      <c r="Z64">
        <v>0.6</v>
      </c>
      <c r="AA64">
        <v>0.05</v>
      </c>
      <c r="AD64">
        <f t="shared" si="1"/>
        <v>1.0360000000000001E-2</v>
      </c>
      <c r="AG64">
        <f t="shared" si="2"/>
        <v>2.5</v>
      </c>
      <c r="AH64">
        <f t="shared" si="4"/>
        <v>1.6891891891891893</v>
      </c>
      <c r="AI64">
        <f t="shared" si="3"/>
        <v>0.59199999999999997</v>
      </c>
    </row>
    <row r="65" spans="1:35" x14ac:dyDescent="0.3">
      <c r="A65">
        <v>1.57</v>
      </c>
      <c r="B65" t="s">
        <v>98</v>
      </c>
      <c r="C65" t="s">
        <v>51</v>
      </c>
      <c r="D65" t="s">
        <v>66</v>
      </c>
      <c r="E65" t="s">
        <v>67</v>
      </c>
      <c r="F65">
        <v>0.35</v>
      </c>
      <c r="G65">
        <v>0</v>
      </c>
      <c r="H65">
        <v>0</v>
      </c>
      <c r="I65">
        <v>6.6666669999999997E-2</v>
      </c>
      <c r="J65">
        <v>6.6666669999999997E-2</v>
      </c>
      <c r="K65">
        <v>25</v>
      </c>
      <c r="L65">
        <v>0</v>
      </c>
      <c r="M65">
        <v>0.8</v>
      </c>
      <c r="N65">
        <v>0.3</v>
      </c>
      <c r="O65">
        <v>0.33</v>
      </c>
      <c r="P65">
        <v>0</v>
      </c>
      <c r="Q65">
        <v>0.57399999999999995</v>
      </c>
      <c r="X65">
        <v>1</v>
      </c>
      <c r="Y65">
        <v>4.2</v>
      </c>
      <c r="Z65">
        <v>0.6</v>
      </c>
      <c r="AA65">
        <v>0.05</v>
      </c>
      <c r="AD65">
        <f t="shared" si="1"/>
        <v>1.099E-2</v>
      </c>
      <c r="AG65">
        <f t="shared" si="2"/>
        <v>2.5</v>
      </c>
      <c r="AH65">
        <f t="shared" si="4"/>
        <v>1.592356687898089</v>
      </c>
      <c r="AI65">
        <f t="shared" si="3"/>
        <v>0.628</v>
      </c>
    </row>
    <row r="66" spans="1:35" x14ac:dyDescent="0.3">
      <c r="A66">
        <v>2.65</v>
      </c>
      <c r="B66" t="s">
        <v>99</v>
      </c>
      <c r="C66" t="s">
        <v>51</v>
      </c>
      <c r="D66" t="s">
        <v>66</v>
      </c>
      <c r="E66" t="s">
        <v>67</v>
      </c>
      <c r="F66">
        <v>0.35</v>
      </c>
      <c r="G66">
        <v>0</v>
      </c>
      <c r="H66">
        <v>0</v>
      </c>
      <c r="I66">
        <v>6.6666669999999997E-2</v>
      </c>
      <c r="J66">
        <v>6.6666669999999997E-2</v>
      </c>
      <c r="K66">
        <v>25</v>
      </c>
      <c r="L66">
        <v>0</v>
      </c>
      <c r="M66">
        <v>0.8</v>
      </c>
      <c r="N66">
        <v>0.3</v>
      </c>
      <c r="O66">
        <v>0.33</v>
      </c>
      <c r="P66">
        <v>0</v>
      </c>
      <c r="Q66">
        <v>0.57399999999999995</v>
      </c>
      <c r="X66">
        <v>1</v>
      </c>
      <c r="Y66">
        <v>4.2</v>
      </c>
      <c r="Z66">
        <v>0.6</v>
      </c>
      <c r="AA66">
        <v>0.05</v>
      </c>
      <c r="AD66">
        <f t="shared" si="1"/>
        <v>1.8550000000000001E-2</v>
      </c>
      <c r="AG66">
        <f t="shared" si="2"/>
        <v>2.5</v>
      </c>
      <c r="AH66">
        <f t="shared" ref="AH66:AH97" si="5">AG66/A66</f>
        <v>0.94339622641509435</v>
      </c>
      <c r="AI66">
        <f t="shared" si="3"/>
        <v>1.06</v>
      </c>
    </row>
    <row r="67" spans="1:35" x14ac:dyDescent="0.3">
      <c r="A67">
        <v>2.2000000000000002</v>
      </c>
      <c r="B67" t="s">
        <v>100</v>
      </c>
      <c r="C67" t="s">
        <v>51</v>
      </c>
      <c r="D67" t="s">
        <v>66</v>
      </c>
      <c r="E67" t="s">
        <v>67</v>
      </c>
      <c r="F67">
        <v>0.35</v>
      </c>
      <c r="G67">
        <v>0</v>
      </c>
      <c r="H67">
        <v>0</v>
      </c>
      <c r="I67">
        <v>6.6666669999999997E-2</v>
      </c>
      <c r="J67">
        <v>6.6666669999999997E-2</v>
      </c>
      <c r="K67">
        <v>25</v>
      </c>
      <c r="L67">
        <v>0</v>
      </c>
      <c r="M67">
        <v>0.8</v>
      </c>
      <c r="N67">
        <v>0.3</v>
      </c>
      <c r="O67">
        <v>0.33</v>
      </c>
      <c r="P67">
        <v>0</v>
      </c>
      <c r="Q67">
        <v>0.57399999999999995</v>
      </c>
      <c r="X67">
        <v>1</v>
      </c>
      <c r="Y67">
        <v>4.2</v>
      </c>
      <c r="Z67">
        <v>0.6</v>
      </c>
      <c r="AA67">
        <v>0.05</v>
      </c>
      <c r="AD67">
        <f t="shared" ref="AD67:AD130" si="6">A67*Y67/(1000*Z67)</f>
        <v>1.5400000000000004E-2</v>
      </c>
      <c r="AG67">
        <f t="shared" ref="AG67:AG130" si="7">50*5/100</f>
        <v>2.5</v>
      </c>
      <c r="AH67">
        <f t="shared" si="5"/>
        <v>1.1363636363636362</v>
      </c>
      <c r="AI67">
        <f t="shared" ref="AI67:AI130" si="8">1/AH67</f>
        <v>0.88000000000000012</v>
      </c>
    </row>
    <row r="68" spans="1:35" x14ac:dyDescent="0.3">
      <c r="A68">
        <v>2.57</v>
      </c>
      <c r="B68" t="s">
        <v>101</v>
      </c>
      <c r="C68" t="s">
        <v>51</v>
      </c>
      <c r="D68" t="s">
        <v>66</v>
      </c>
      <c r="E68" t="s">
        <v>67</v>
      </c>
      <c r="F68">
        <v>0.35</v>
      </c>
      <c r="G68">
        <v>0</v>
      </c>
      <c r="H68">
        <v>0</v>
      </c>
      <c r="I68">
        <v>6.6666669999999997E-2</v>
      </c>
      <c r="J68">
        <v>6.6666669999999997E-2</v>
      </c>
      <c r="K68">
        <v>25</v>
      </c>
      <c r="L68">
        <v>0</v>
      </c>
      <c r="M68">
        <v>0.8</v>
      </c>
      <c r="N68">
        <v>0.3</v>
      </c>
      <c r="O68">
        <v>0.33</v>
      </c>
      <c r="P68">
        <v>0</v>
      </c>
      <c r="Q68">
        <v>0.57399999999999995</v>
      </c>
      <c r="X68">
        <v>1</v>
      </c>
      <c r="Y68">
        <v>4.2</v>
      </c>
      <c r="Z68">
        <v>0.6</v>
      </c>
      <c r="AA68">
        <v>0.05</v>
      </c>
      <c r="AD68">
        <f t="shared" si="6"/>
        <v>1.7990000000000003E-2</v>
      </c>
      <c r="AG68">
        <f t="shared" si="7"/>
        <v>2.5</v>
      </c>
      <c r="AH68">
        <f t="shared" si="5"/>
        <v>0.97276264591439698</v>
      </c>
      <c r="AI68">
        <f t="shared" si="8"/>
        <v>1.0279999999999998</v>
      </c>
    </row>
    <row r="69" spans="1:35" x14ac:dyDescent="0.3">
      <c r="A69">
        <v>28.58</v>
      </c>
      <c r="B69" t="s">
        <v>102</v>
      </c>
      <c r="C69" t="s">
        <v>27</v>
      </c>
      <c r="D69" t="s">
        <v>66</v>
      </c>
      <c r="E69" t="s">
        <v>67</v>
      </c>
      <c r="F69">
        <v>0.35</v>
      </c>
      <c r="G69">
        <v>0</v>
      </c>
      <c r="H69">
        <v>0</v>
      </c>
      <c r="I69">
        <v>6.6666669999999997E-2</v>
      </c>
      <c r="J69">
        <v>6.6666669999999997E-2</v>
      </c>
      <c r="K69">
        <v>25</v>
      </c>
      <c r="L69">
        <v>0</v>
      </c>
      <c r="M69">
        <v>0.8</v>
      </c>
      <c r="N69">
        <v>0.3</v>
      </c>
      <c r="O69">
        <v>0.33</v>
      </c>
      <c r="P69">
        <v>0</v>
      </c>
      <c r="Q69">
        <v>0.57399999999999995</v>
      </c>
      <c r="X69">
        <v>1</v>
      </c>
      <c r="Y69">
        <v>4.2</v>
      </c>
      <c r="Z69">
        <v>0.6</v>
      </c>
      <c r="AA69">
        <v>0.05</v>
      </c>
      <c r="AD69">
        <f t="shared" si="6"/>
        <v>0.20006000000000002</v>
      </c>
      <c r="AG69">
        <f t="shared" si="7"/>
        <v>2.5</v>
      </c>
      <c r="AH69">
        <f t="shared" si="5"/>
        <v>8.7473757872638211E-2</v>
      </c>
      <c r="AI69">
        <f t="shared" si="8"/>
        <v>11.432</v>
      </c>
    </row>
    <row r="70" spans="1:35" x14ac:dyDescent="0.3">
      <c r="A70">
        <v>27.9</v>
      </c>
      <c r="B70" t="s">
        <v>103</v>
      </c>
      <c r="C70" t="s">
        <v>27</v>
      </c>
      <c r="D70" t="s">
        <v>66</v>
      </c>
      <c r="E70" t="s">
        <v>67</v>
      </c>
      <c r="F70">
        <v>0.35</v>
      </c>
      <c r="G70">
        <v>0</v>
      </c>
      <c r="H70">
        <v>0</v>
      </c>
      <c r="I70">
        <v>6.6666669999999997E-2</v>
      </c>
      <c r="J70">
        <v>6.6666669999999997E-2</v>
      </c>
      <c r="K70">
        <v>25</v>
      </c>
      <c r="L70">
        <v>0</v>
      </c>
      <c r="M70">
        <v>0.8</v>
      </c>
      <c r="N70">
        <v>0.3</v>
      </c>
      <c r="O70">
        <v>0.33</v>
      </c>
      <c r="P70">
        <v>0</v>
      </c>
      <c r="Q70">
        <v>0.57399999999999995</v>
      </c>
      <c r="X70">
        <v>1</v>
      </c>
      <c r="Y70">
        <v>4.2</v>
      </c>
      <c r="Z70">
        <v>0.6</v>
      </c>
      <c r="AA70">
        <v>0.05</v>
      </c>
      <c r="AD70">
        <f t="shared" si="6"/>
        <v>0.1953</v>
      </c>
      <c r="AG70">
        <f t="shared" si="7"/>
        <v>2.5</v>
      </c>
      <c r="AH70">
        <f t="shared" si="5"/>
        <v>8.9605734767025089E-2</v>
      </c>
      <c r="AI70">
        <f t="shared" si="8"/>
        <v>11.16</v>
      </c>
    </row>
    <row r="71" spans="1:35" x14ac:dyDescent="0.3">
      <c r="A71">
        <v>28.98</v>
      </c>
      <c r="B71" t="s">
        <v>104</v>
      </c>
      <c r="C71" t="s">
        <v>27</v>
      </c>
      <c r="D71" t="s">
        <v>66</v>
      </c>
      <c r="E71" t="s">
        <v>67</v>
      </c>
      <c r="F71">
        <v>0.35</v>
      </c>
      <c r="G71">
        <v>0</v>
      </c>
      <c r="H71">
        <v>0</v>
      </c>
      <c r="I71">
        <v>6.6666669999999997E-2</v>
      </c>
      <c r="J71">
        <v>6.6666669999999997E-2</v>
      </c>
      <c r="K71">
        <v>25</v>
      </c>
      <c r="L71">
        <v>0</v>
      </c>
      <c r="M71">
        <v>0.8</v>
      </c>
      <c r="N71">
        <v>0.3</v>
      </c>
      <c r="O71">
        <v>0.33</v>
      </c>
      <c r="P71">
        <v>0</v>
      </c>
      <c r="Q71">
        <v>0.57399999999999995</v>
      </c>
      <c r="X71">
        <v>1</v>
      </c>
      <c r="Y71">
        <v>4.2</v>
      </c>
      <c r="Z71">
        <v>0.6</v>
      </c>
      <c r="AA71">
        <v>0.05</v>
      </c>
      <c r="AD71">
        <f t="shared" si="6"/>
        <v>0.20286000000000001</v>
      </c>
      <c r="AG71">
        <f t="shared" si="7"/>
        <v>2.5</v>
      </c>
      <c r="AH71">
        <f t="shared" si="5"/>
        <v>8.6266390614216704E-2</v>
      </c>
      <c r="AI71">
        <f t="shared" si="8"/>
        <v>11.592000000000001</v>
      </c>
    </row>
    <row r="72" spans="1:35" x14ac:dyDescent="0.3">
      <c r="A72">
        <v>28.3</v>
      </c>
      <c r="B72" t="s">
        <v>105</v>
      </c>
      <c r="C72" t="s">
        <v>27</v>
      </c>
      <c r="D72" t="s">
        <v>66</v>
      </c>
      <c r="E72" t="s">
        <v>67</v>
      </c>
      <c r="F72">
        <v>0.35</v>
      </c>
      <c r="G72">
        <v>0</v>
      </c>
      <c r="H72">
        <v>0</v>
      </c>
      <c r="I72">
        <v>6.6666669999999997E-2</v>
      </c>
      <c r="J72">
        <v>6.6666669999999997E-2</v>
      </c>
      <c r="K72">
        <v>25</v>
      </c>
      <c r="L72">
        <v>0</v>
      </c>
      <c r="M72">
        <v>0.8</v>
      </c>
      <c r="N72">
        <v>0.3</v>
      </c>
      <c r="O72">
        <v>0.33</v>
      </c>
      <c r="P72">
        <v>0</v>
      </c>
      <c r="Q72">
        <v>0.57399999999999995</v>
      </c>
      <c r="X72">
        <v>1</v>
      </c>
      <c r="Y72">
        <v>4.2</v>
      </c>
      <c r="Z72">
        <v>0.6</v>
      </c>
      <c r="AA72">
        <v>0.05</v>
      </c>
      <c r="AD72">
        <f t="shared" si="6"/>
        <v>0.19810000000000003</v>
      </c>
      <c r="AG72">
        <f t="shared" si="7"/>
        <v>2.5</v>
      </c>
      <c r="AH72">
        <f t="shared" si="5"/>
        <v>8.8339222614840993E-2</v>
      </c>
      <c r="AI72">
        <f t="shared" si="8"/>
        <v>11.32</v>
      </c>
    </row>
    <row r="73" spans="1:35" x14ac:dyDescent="0.3">
      <c r="A73">
        <v>17.29</v>
      </c>
      <c r="B73" t="s">
        <v>106</v>
      </c>
      <c r="C73" t="s">
        <v>37</v>
      </c>
      <c r="D73" t="s">
        <v>66</v>
      </c>
      <c r="E73" t="s">
        <v>67</v>
      </c>
      <c r="F73">
        <v>0.35</v>
      </c>
      <c r="G73">
        <v>0</v>
      </c>
      <c r="H73">
        <v>0</v>
      </c>
      <c r="I73">
        <v>6.6666669999999997E-2</v>
      </c>
      <c r="J73">
        <v>6.6666669999999997E-2</v>
      </c>
      <c r="K73">
        <v>25</v>
      </c>
      <c r="L73">
        <v>0</v>
      </c>
      <c r="M73">
        <v>0.8</v>
      </c>
      <c r="N73">
        <v>0.3</v>
      </c>
      <c r="O73">
        <v>0.33</v>
      </c>
      <c r="P73">
        <v>0</v>
      </c>
      <c r="Q73">
        <v>0.57399999999999995</v>
      </c>
      <c r="X73">
        <v>1</v>
      </c>
      <c r="Y73">
        <v>4.2</v>
      </c>
      <c r="Z73">
        <v>0.6</v>
      </c>
      <c r="AA73">
        <v>0.05</v>
      </c>
      <c r="AD73">
        <f t="shared" si="6"/>
        <v>0.12102999999999998</v>
      </c>
      <c r="AG73">
        <f t="shared" si="7"/>
        <v>2.5</v>
      </c>
      <c r="AH73">
        <f t="shared" si="5"/>
        <v>0.14459224985540775</v>
      </c>
      <c r="AI73">
        <f t="shared" si="8"/>
        <v>6.9160000000000004</v>
      </c>
    </row>
    <row r="74" spans="1:35" x14ac:dyDescent="0.3">
      <c r="A74">
        <v>31.96</v>
      </c>
      <c r="B74" t="s">
        <v>107</v>
      </c>
      <c r="C74" t="s">
        <v>37</v>
      </c>
      <c r="D74" t="s">
        <v>66</v>
      </c>
      <c r="E74" t="s">
        <v>67</v>
      </c>
      <c r="F74">
        <v>0.35</v>
      </c>
      <c r="G74">
        <v>0</v>
      </c>
      <c r="H74">
        <v>0</v>
      </c>
      <c r="I74">
        <v>6.6666669999999997E-2</v>
      </c>
      <c r="J74">
        <v>6.6666669999999997E-2</v>
      </c>
      <c r="K74">
        <v>25</v>
      </c>
      <c r="L74">
        <v>0</v>
      </c>
      <c r="M74">
        <v>0.8</v>
      </c>
      <c r="N74">
        <v>0.3</v>
      </c>
      <c r="O74">
        <v>0.33</v>
      </c>
      <c r="P74">
        <v>0</v>
      </c>
      <c r="Q74">
        <v>0.57399999999999995</v>
      </c>
      <c r="X74">
        <v>1</v>
      </c>
      <c r="Y74">
        <v>4.2</v>
      </c>
      <c r="Z74">
        <v>0.6</v>
      </c>
      <c r="AA74">
        <v>0.05</v>
      </c>
      <c r="AD74">
        <f t="shared" si="6"/>
        <v>0.22372</v>
      </c>
      <c r="AG74">
        <f t="shared" si="7"/>
        <v>2.5</v>
      </c>
      <c r="AH74">
        <f t="shared" si="5"/>
        <v>7.8222778473091364E-2</v>
      </c>
      <c r="AI74">
        <f t="shared" si="8"/>
        <v>12.784000000000001</v>
      </c>
    </row>
    <row r="75" spans="1:35" x14ac:dyDescent="0.3">
      <c r="A75">
        <v>41.48</v>
      </c>
      <c r="B75" t="s">
        <v>108</v>
      </c>
      <c r="C75" t="s">
        <v>51</v>
      </c>
      <c r="D75" t="s">
        <v>66</v>
      </c>
      <c r="E75" t="s">
        <v>67</v>
      </c>
      <c r="F75">
        <v>0.35</v>
      </c>
      <c r="G75">
        <v>0</v>
      </c>
      <c r="H75">
        <v>0</v>
      </c>
      <c r="I75">
        <v>6.6666669999999997E-2</v>
      </c>
      <c r="J75">
        <v>6.6666669999999997E-2</v>
      </c>
      <c r="K75">
        <v>25</v>
      </c>
      <c r="L75">
        <v>0</v>
      </c>
      <c r="M75">
        <v>0.8</v>
      </c>
      <c r="N75">
        <v>0.3</v>
      </c>
      <c r="O75">
        <v>0.33</v>
      </c>
      <c r="P75">
        <v>0</v>
      </c>
      <c r="Q75">
        <v>0.57399999999999995</v>
      </c>
      <c r="X75">
        <v>1</v>
      </c>
      <c r="Y75">
        <v>4.2</v>
      </c>
      <c r="Z75">
        <v>0.6</v>
      </c>
      <c r="AA75">
        <v>0.05</v>
      </c>
      <c r="AD75">
        <f t="shared" si="6"/>
        <v>0.29036000000000001</v>
      </c>
      <c r="AG75">
        <f t="shared" si="7"/>
        <v>2.5</v>
      </c>
      <c r="AH75">
        <f t="shared" si="5"/>
        <v>6.0270009643201547E-2</v>
      </c>
      <c r="AI75">
        <f t="shared" si="8"/>
        <v>16.591999999999999</v>
      </c>
    </row>
    <row r="76" spans="1:35" x14ac:dyDescent="0.3">
      <c r="A76">
        <v>40.99</v>
      </c>
      <c r="B76" t="s">
        <v>109</v>
      </c>
      <c r="C76" t="s">
        <v>51</v>
      </c>
      <c r="D76" t="s">
        <v>66</v>
      </c>
      <c r="E76" t="s">
        <v>67</v>
      </c>
      <c r="F76">
        <v>0.35</v>
      </c>
      <c r="G76">
        <v>0</v>
      </c>
      <c r="H76">
        <v>0</v>
      </c>
      <c r="I76">
        <v>6.6666669999999997E-2</v>
      </c>
      <c r="J76">
        <v>6.6666669999999997E-2</v>
      </c>
      <c r="K76">
        <v>25</v>
      </c>
      <c r="L76">
        <v>0</v>
      </c>
      <c r="M76">
        <v>0.8</v>
      </c>
      <c r="N76">
        <v>0.3</v>
      </c>
      <c r="O76">
        <v>0.33</v>
      </c>
      <c r="P76">
        <v>0</v>
      </c>
      <c r="Q76">
        <v>0.57399999999999995</v>
      </c>
      <c r="X76">
        <v>1</v>
      </c>
      <c r="Y76">
        <v>4.2</v>
      </c>
      <c r="Z76">
        <v>0.6</v>
      </c>
      <c r="AA76">
        <v>0.05</v>
      </c>
      <c r="AD76">
        <f t="shared" si="6"/>
        <v>0.28693000000000002</v>
      </c>
      <c r="AG76">
        <f t="shared" si="7"/>
        <v>2.5</v>
      </c>
      <c r="AH76">
        <f t="shared" si="5"/>
        <v>6.0990485484264452E-2</v>
      </c>
      <c r="AI76">
        <f t="shared" si="8"/>
        <v>16.396000000000001</v>
      </c>
    </row>
    <row r="77" spans="1:35" x14ac:dyDescent="0.3">
      <c r="A77">
        <v>41.8</v>
      </c>
      <c r="B77" t="s">
        <v>110</v>
      </c>
      <c r="C77" t="s">
        <v>51</v>
      </c>
      <c r="D77" t="s">
        <v>66</v>
      </c>
      <c r="E77" t="s">
        <v>67</v>
      </c>
      <c r="F77">
        <v>0.35</v>
      </c>
      <c r="G77">
        <v>0</v>
      </c>
      <c r="H77">
        <v>0</v>
      </c>
      <c r="I77">
        <v>6.6666669999999997E-2</v>
      </c>
      <c r="J77">
        <v>6.6666669999999997E-2</v>
      </c>
      <c r="K77">
        <v>25</v>
      </c>
      <c r="L77">
        <v>0</v>
      </c>
      <c r="M77">
        <v>0.8</v>
      </c>
      <c r="N77">
        <v>0.3</v>
      </c>
      <c r="O77">
        <v>0.33</v>
      </c>
      <c r="P77">
        <v>0</v>
      </c>
      <c r="Q77">
        <v>0.57399999999999995</v>
      </c>
      <c r="X77">
        <v>1</v>
      </c>
      <c r="Y77">
        <v>4.2</v>
      </c>
      <c r="Z77">
        <v>0.6</v>
      </c>
      <c r="AA77">
        <v>0.05</v>
      </c>
      <c r="AD77">
        <f t="shared" si="6"/>
        <v>0.29260000000000003</v>
      </c>
      <c r="AG77">
        <f t="shared" si="7"/>
        <v>2.5</v>
      </c>
      <c r="AH77">
        <f t="shared" si="5"/>
        <v>5.9808612440191394E-2</v>
      </c>
      <c r="AI77">
        <f t="shared" si="8"/>
        <v>16.72</v>
      </c>
    </row>
    <row r="78" spans="1:35" x14ac:dyDescent="0.3">
      <c r="A78">
        <v>41.7</v>
      </c>
      <c r="B78" t="s">
        <v>111</v>
      </c>
      <c r="C78" t="s">
        <v>51</v>
      </c>
      <c r="D78" t="s">
        <v>66</v>
      </c>
      <c r="E78" t="s">
        <v>67</v>
      </c>
      <c r="F78">
        <v>0.35</v>
      </c>
      <c r="G78">
        <v>0</v>
      </c>
      <c r="H78">
        <v>0</v>
      </c>
      <c r="I78">
        <v>6.6666669999999997E-2</v>
      </c>
      <c r="J78">
        <v>6.6666669999999997E-2</v>
      </c>
      <c r="K78">
        <v>25</v>
      </c>
      <c r="L78">
        <v>0</v>
      </c>
      <c r="M78">
        <v>0.8</v>
      </c>
      <c r="N78">
        <v>0.3</v>
      </c>
      <c r="O78">
        <v>0.33</v>
      </c>
      <c r="P78">
        <v>0</v>
      </c>
      <c r="Q78">
        <v>0.57399999999999995</v>
      </c>
      <c r="X78">
        <v>1</v>
      </c>
      <c r="Y78">
        <v>4.2</v>
      </c>
      <c r="Z78">
        <v>0.6</v>
      </c>
      <c r="AA78">
        <v>0.05</v>
      </c>
      <c r="AD78">
        <f t="shared" si="6"/>
        <v>0.29190000000000005</v>
      </c>
      <c r="AG78">
        <f t="shared" si="7"/>
        <v>2.5</v>
      </c>
      <c r="AH78">
        <f t="shared" si="5"/>
        <v>5.9952038369304551E-2</v>
      </c>
      <c r="AI78">
        <f t="shared" si="8"/>
        <v>16.68</v>
      </c>
    </row>
    <row r="79" spans="1:35" x14ac:dyDescent="0.3">
      <c r="A79">
        <v>43.26</v>
      </c>
      <c r="B79" t="s">
        <v>112</v>
      </c>
      <c r="C79" t="s">
        <v>65</v>
      </c>
      <c r="D79" t="s">
        <v>66</v>
      </c>
      <c r="E79" t="s">
        <v>67</v>
      </c>
      <c r="F79">
        <v>0.35</v>
      </c>
      <c r="G79">
        <v>0</v>
      </c>
      <c r="H79">
        <v>0</v>
      </c>
      <c r="I79">
        <v>6.6666669999999997E-2</v>
      </c>
      <c r="J79">
        <v>6.6666669999999997E-2</v>
      </c>
      <c r="K79">
        <v>25</v>
      </c>
      <c r="L79">
        <v>0</v>
      </c>
      <c r="M79">
        <v>0.8</v>
      </c>
      <c r="N79">
        <v>0.3</v>
      </c>
      <c r="O79">
        <v>0.33</v>
      </c>
      <c r="P79">
        <v>0</v>
      </c>
      <c r="Q79">
        <v>0.57399999999999995</v>
      </c>
      <c r="X79">
        <v>1</v>
      </c>
      <c r="Y79">
        <v>4.2</v>
      </c>
      <c r="Z79">
        <v>0.6</v>
      </c>
      <c r="AA79">
        <v>0.05</v>
      </c>
      <c r="AD79">
        <f t="shared" si="6"/>
        <v>0.30282000000000003</v>
      </c>
      <c r="AG79">
        <f t="shared" si="7"/>
        <v>2.5</v>
      </c>
      <c r="AH79">
        <f t="shared" si="5"/>
        <v>5.7790106333795659E-2</v>
      </c>
      <c r="AI79">
        <f t="shared" si="8"/>
        <v>17.303999999999998</v>
      </c>
    </row>
    <row r="80" spans="1:35" x14ac:dyDescent="0.3">
      <c r="A80">
        <v>42.69</v>
      </c>
      <c r="B80" t="s">
        <v>113</v>
      </c>
      <c r="C80" t="s">
        <v>65</v>
      </c>
      <c r="D80" t="s">
        <v>66</v>
      </c>
      <c r="E80" t="s">
        <v>67</v>
      </c>
      <c r="F80">
        <v>0.35</v>
      </c>
      <c r="G80">
        <v>0</v>
      </c>
      <c r="H80">
        <v>0</v>
      </c>
      <c r="I80">
        <v>6.6666669999999997E-2</v>
      </c>
      <c r="J80">
        <v>6.6666669999999997E-2</v>
      </c>
      <c r="K80">
        <v>25</v>
      </c>
      <c r="L80">
        <v>0</v>
      </c>
      <c r="M80">
        <v>0.8</v>
      </c>
      <c r="N80">
        <v>0.3</v>
      </c>
      <c r="O80">
        <v>0.33</v>
      </c>
      <c r="P80">
        <v>0</v>
      </c>
      <c r="Q80">
        <v>0.57399999999999995</v>
      </c>
      <c r="X80">
        <v>1</v>
      </c>
      <c r="Y80">
        <v>4.2</v>
      </c>
      <c r="Z80">
        <v>0.6</v>
      </c>
      <c r="AA80">
        <v>0.05</v>
      </c>
      <c r="AD80">
        <f t="shared" si="6"/>
        <v>0.29882999999999998</v>
      </c>
      <c r="AG80">
        <f t="shared" si="7"/>
        <v>2.5</v>
      </c>
      <c r="AH80">
        <f t="shared" si="5"/>
        <v>5.8561724057156248E-2</v>
      </c>
      <c r="AI80">
        <f t="shared" si="8"/>
        <v>17.075999999999997</v>
      </c>
    </row>
    <row r="81" spans="1:35" x14ac:dyDescent="0.3">
      <c r="A81">
        <v>43.02</v>
      </c>
      <c r="B81" t="s">
        <v>114</v>
      </c>
      <c r="C81" t="s">
        <v>65</v>
      </c>
      <c r="D81" t="s">
        <v>66</v>
      </c>
      <c r="E81" t="s">
        <v>67</v>
      </c>
      <c r="F81">
        <v>0.35</v>
      </c>
      <c r="G81">
        <v>0</v>
      </c>
      <c r="H81">
        <v>0</v>
      </c>
      <c r="I81">
        <v>6.6666669999999997E-2</v>
      </c>
      <c r="J81">
        <v>6.6666669999999997E-2</v>
      </c>
      <c r="K81">
        <v>25</v>
      </c>
      <c r="L81">
        <v>0</v>
      </c>
      <c r="M81">
        <v>0.8</v>
      </c>
      <c r="N81">
        <v>0.3</v>
      </c>
      <c r="O81">
        <v>0.33</v>
      </c>
      <c r="P81">
        <v>0</v>
      </c>
      <c r="Q81">
        <v>0.57399999999999995</v>
      </c>
      <c r="X81">
        <v>1</v>
      </c>
      <c r="Y81">
        <v>4.2</v>
      </c>
      <c r="Z81">
        <v>0.6</v>
      </c>
      <c r="AA81">
        <v>0.05</v>
      </c>
      <c r="AD81">
        <f t="shared" si="6"/>
        <v>0.30114000000000002</v>
      </c>
      <c r="AG81">
        <f t="shared" si="7"/>
        <v>2.5</v>
      </c>
      <c r="AH81">
        <f t="shared" si="5"/>
        <v>5.8112505811250575E-2</v>
      </c>
      <c r="AI81">
        <f t="shared" si="8"/>
        <v>17.208000000000002</v>
      </c>
    </row>
    <row r="82" spans="1:35" x14ac:dyDescent="0.3">
      <c r="A82">
        <v>43.23</v>
      </c>
      <c r="B82" t="s">
        <v>115</v>
      </c>
      <c r="C82" t="s">
        <v>65</v>
      </c>
      <c r="D82" t="s">
        <v>66</v>
      </c>
      <c r="E82" t="s">
        <v>67</v>
      </c>
      <c r="F82">
        <v>0.35</v>
      </c>
      <c r="G82">
        <v>0</v>
      </c>
      <c r="H82">
        <v>0</v>
      </c>
      <c r="I82">
        <v>6.6666669999999997E-2</v>
      </c>
      <c r="J82">
        <v>6.6666669999999997E-2</v>
      </c>
      <c r="K82">
        <v>25</v>
      </c>
      <c r="L82">
        <v>0</v>
      </c>
      <c r="M82">
        <v>0.8</v>
      </c>
      <c r="N82">
        <v>0.3</v>
      </c>
      <c r="O82">
        <v>0.33</v>
      </c>
      <c r="P82">
        <v>0</v>
      </c>
      <c r="Q82">
        <v>0.57399999999999995</v>
      </c>
      <c r="X82">
        <v>1</v>
      </c>
      <c r="Y82">
        <v>4.2</v>
      </c>
      <c r="Z82">
        <v>0.6</v>
      </c>
      <c r="AA82">
        <v>0.05</v>
      </c>
      <c r="AD82">
        <f t="shared" si="6"/>
        <v>0.30260999999999999</v>
      </c>
      <c r="AG82">
        <f t="shared" si="7"/>
        <v>2.5</v>
      </c>
      <c r="AH82">
        <f t="shared" si="5"/>
        <v>5.7830210501966232E-2</v>
      </c>
      <c r="AI82">
        <f t="shared" si="8"/>
        <v>17.291999999999998</v>
      </c>
    </row>
    <row r="83" spans="1:35" x14ac:dyDescent="0.3">
      <c r="A83">
        <v>42.69</v>
      </c>
      <c r="B83" t="s">
        <v>116</v>
      </c>
      <c r="C83" t="s">
        <v>65</v>
      </c>
      <c r="D83" t="s">
        <v>66</v>
      </c>
      <c r="E83" t="s">
        <v>67</v>
      </c>
      <c r="F83">
        <v>0.35</v>
      </c>
      <c r="G83">
        <v>0</v>
      </c>
      <c r="H83">
        <v>0</v>
      </c>
      <c r="I83">
        <v>6.6666669999999997E-2</v>
      </c>
      <c r="J83">
        <v>6.6666669999999997E-2</v>
      </c>
      <c r="K83">
        <v>25</v>
      </c>
      <c r="L83">
        <v>0</v>
      </c>
      <c r="M83">
        <v>0.8</v>
      </c>
      <c r="N83">
        <v>0.3</v>
      </c>
      <c r="O83">
        <v>0.33</v>
      </c>
      <c r="P83">
        <v>0</v>
      </c>
      <c r="Q83">
        <v>0.57399999999999995</v>
      </c>
      <c r="X83">
        <v>1</v>
      </c>
      <c r="Y83">
        <v>4.2</v>
      </c>
      <c r="Z83">
        <v>0.6</v>
      </c>
      <c r="AA83">
        <v>0.05</v>
      </c>
      <c r="AD83">
        <f t="shared" si="6"/>
        <v>0.29882999999999998</v>
      </c>
      <c r="AG83">
        <f t="shared" si="7"/>
        <v>2.5</v>
      </c>
      <c r="AH83">
        <f t="shared" si="5"/>
        <v>5.8561724057156248E-2</v>
      </c>
      <c r="AI83">
        <f t="shared" si="8"/>
        <v>17.075999999999997</v>
      </c>
    </row>
    <row r="84" spans="1:35" x14ac:dyDescent="0.3">
      <c r="A84">
        <v>1.24</v>
      </c>
      <c r="B84" t="s">
        <v>117</v>
      </c>
      <c r="C84" t="s">
        <v>37</v>
      </c>
      <c r="D84" t="s">
        <v>66</v>
      </c>
      <c r="E84" t="s">
        <v>118</v>
      </c>
      <c r="F84">
        <v>0.35</v>
      </c>
      <c r="G84">
        <v>0</v>
      </c>
      <c r="H84">
        <v>0</v>
      </c>
      <c r="I84">
        <v>6.6666669999999997E-2</v>
      </c>
      <c r="J84">
        <v>6.6666669999999997E-2</v>
      </c>
      <c r="K84">
        <v>25</v>
      </c>
      <c r="L84">
        <v>0</v>
      </c>
      <c r="M84">
        <v>0.8</v>
      </c>
      <c r="N84">
        <v>0.3</v>
      </c>
      <c r="O84">
        <v>0.33</v>
      </c>
      <c r="P84">
        <v>0</v>
      </c>
      <c r="Q84">
        <v>0.755</v>
      </c>
      <c r="X84">
        <v>1</v>
      </c>
      <c r="Y84">
        <v>4.3</v>
      </c>
      <c r="Z84">
        <v>0.4</v>
      </c>
      <c r="AA84">
        <v>0.05</v>
      </c>
      <c r="AD84">
        <f t="shared" si="6"/>
        <v>1.333E-2</v>
      </c>
      <c r="AG84">
        <f t="shared" si="7"/>
        <v>2.5</v>
      </c>
      <c r="AH84">
        <f t="shared" si="5"/>
        <v>2.0161290322580645</v>
      </c>
      <c r="AI84">
        <f t="shared" si="8"/>
        <v>0.496</v>
      </c>
    </row>
    <row r="85" spans="1:35" x14ac:dyDescent="0.3">
      <c r="A85">
        <v>1.07</v>
      </c>
      <c r="B85" t="s">
        <v>119</v>
      </c>
      <c r="C85" t="s">
        <v>37</v>
      </c>
      <c r="D85" t="s">
        <v>66</v>
      </c>
      <c r="E85" t="s">
        <v>118</v>
      </c>
      <c r="F85">
        <v>0.35</v>
      </c>
      <c r="G85">
        <v>0</v>
      </c>
      <c r="H85">
        <v>0</v>
      </c>
      <c r="I85">
        <v>6.6666669999999997E-2</v>
      </c>
      <c r="J85">
        <v>6.6666669999999997E-2</v>
      </c>
      <c r="K85">
        <v>25</v>
      </c>
      <c r="L85">
        <v>0</v>
      </c>
      <c r="M85">
        <v>0.8</v>
      </c>
      <c r="N85">
        <v>0.3</v>
      </c>
      <c r="O85">
        <v>0.33</v>
      </c>
      <c r="P85">
        <v>0</v>
      </c>
      <c r="Q85">
        <v>0.755</v>
      </c>
      <c r="X85">
        <v>1</v>
      </c>
      <c r="Y85">
        <v>4.3</v>
      </c>
      <c r="Z85">
        <v>0.4</v>
      </c>
      <c r="AA85">
        <v>0.05</v>
      </c>
      <c r="AD85">
        <f t="shared" si="6"/>
        <v>1.1502500000000001E-2</v>
      </c>
      <c r="AG85">
        <f t="shared" si="7"/>
        <v>2.5</v>
      </c>
      <c r="AH85">
        <f t="shared" si="5"/>
        <v>2.3364485981308412</v>
      </c>
      <c r="AI85">
        <f t="shared" si="8"/>
        <v>0.42799999999999999</v>
      </c>
    </row>
    <row r="86" spans="1:35" x14ac:dyDescent="0.3">
      <c r="A86">
        <v>1.0900000000000001</v>
      </c>
      <c r="B86" t="s">
        <v>120</v>
      </c>
      <c r="C86" t="s">
        <v>37</v>
      </c>
      <c r="D86" t="s">
        <v>66</v>
      </c>
      <c r="E86" t="s">
        <v>118</v>
      </c>
      <c r="F86">
        <v>0.35</v>
      </c>
      <c r="G86">
        <v>0</v>
      </c>
      <c r="H86">
        <v>0</v>
      </c>
      <c r="I86">
        <v>6.6666669999999997E-2</v>
      </c>
      <c r="J86">
        <v>6.6666669999999997E-2</v>
      </c>
      <c r="K86">
        <v>25</v>
      </c>
      <c r="L86">
        <v>0</v>
      </c>
      <c r="M86">
        <v>0.8</v>
      </c>
      <c r="N86">
        <v>0.3</v>
      </c>
      <c r="O86">
        <v>0.33</v>
      </c>
      <c r="P86">
        <v>0</v>
      </c>
      <c r="Q86">
        <v>0.755</v>
      </c>
      <c r="X86">
        <v>1</v>
      </c>
      <c r="Y86">
        <v>4.3</v>
      </c>
      <c r="Z86">
        <v>0.4</v>
      </c>
      <c r="AA86">
        <v>0.05</v>
      </c>
      <c r="AD86">
        <f t="shared" si="6"/>
        <v>1.17175E-2</v>
      </c>
      <c r="AG86">
        <f t="shared" si="7"/>
        <v>2.5</v>
      </c>
      <c r="AH86">
        <f t="shared" si="5"/>
        <v>2.2935779816513762</v>
      </c>
      <c r="AI86">
        <f t="shared" si="8"/>
        <v>0.436</v>
      </c>
    </row>
    <row r="87" spans="1:35" x14ac:dyDescent="0.3">
      <c r="A87">
        <v>1.07</v>
      </c>
      <c r="B87" t="s">
        <v>121</v>
      </c>
      <c r="C87" t="s">
        <v>37</v>
      </c>
      <c r="D87" t="s">
        <v>66</v>
      </c>
      <c r="E87" t="s">
        <v>118</v>
      </c>
      <c r="F87">
        <v>0.35</v>
      </c>
      <c r="G87">
        <v>0</v>
      </c>
      <c r="H87">
        <v>0</v>
      </c>
      <c r="I87">
        <v>6.6666669999999997E-2</v>
      </c>
      <c r="J87">
        <v>6.6666669999999997E-2</v>
      </c>
      <c r="K87">
        <v>25</v>
      </c>
      <c r="L87">
        <v>0</v>
      </c>
      <c r="M87">
        <v>0.8</v>
      </c>
      <c r="N87">
        <v>0.3</v>
      </c>
      <c r="O87">
        <v>0.33</v>
      </c>
      <c r="P87">
        <v>0</v>
      </c>
      <c r="Q87">
        <v>0.755</v>
      </c>
      <c r="X87">
        <v>1</v>
      </c>
      <c r="Y87">
        <v>4.3</v>
      </c>
      <c r="Z87">
        <v>0.4</v>
      </c>
      <c r="AA87">
        <v>0.05</v>
      </c>
      <c r="AD87">
        <f t="shared" si="6"/>
        <v>1.1502500000000001E-2</v>
      </c>
      <c r="AG87">
        <f t="shared" si="7"/>
        <v>2.5</v>
      </c>
      <c r="AH87">
        <f t="shared" si="5"/>
        <v>2.3364485981308412</v>
      </c>
      <c r="AI87">
        <f t="shared" si="8"/>
        <v>0.42799999999999999</v>
      </c>
    </row>
    <row r="88" spans="1:35" x14ac:dyDescent="0.3">
      <c r="A88">
        <v>1.07</v>
      </c>
      <c r="B88" t="s">
        <v>122</v>
      </c>
      <c r="C88" t="s">
        <v>37</v>
      </c>
      <c r="D88" t="s">
        <v>66</v>
      </c>
      <c r="E88" t="s">
        <v>118</v>
      </c>
      <c r="F88">
        <v>0.35</v>
      </c>
      <c r="G88">
        <v>0</v>
      </c>
      <c r="H88">
        <v>0</v>
      </c>
      <c r="I88">
        <v>6.6666669999999997E-2</v>
      </c>
      <c r="J88">
        <v>6.6666669999999997E-2</v>
      </c>
      <c r="K88">
        <v>25</v>
      </c>
      <c r="L88">
        <v>0</v>
      </c>
      <c r="M88">
        <v>0.8</v>
      </c>
      <c r="N88">
        <v>0.3</v>
      </c>
      <c r="O88">
        <v>0.33</v>
      </c>
      <c r="P88">
        <v>0</v>
      </c>
      <c r="Q88">
        <v>0.755</v>
      </c>
      <c r="X88">
        <v>1</v>
      </c>
      <c r="Y88">
        <v>4.3</v>
      </c>
      <c r="Z88">
        <v>0.4</v>
      </c>
      <c r="AA88">
        <v>0.05</v>
      </c>
      <c r="AD88">
        <f t="shared" si="6"/>
        <v>1.1502500000000001E-2</v>
      </c>
      <c r="AG88">
        <f t="shared" si="7"/>
        <v>2.5</v>
      </c>
      <c r="AH88">
        <f t="shared" si="5"/>
        <v>2.3364485981308412</v>
      </c>
      <c r="AI88">
        <f t="shared" si="8"/>
        <v>0.42799999999999999</v>
      </c>
    </row>
    <row r="89" spans="1:35" x14ac:dyDescent="0.3">
      <c r="A89">
        <v>1.17</v>
      </c>
      <c r="B89" t="s">
        <v>123</v>
      </c>
      <c r="C89" t="s">
        <v>37</v>
      </c>
      <c r="D89" t="s">
        <v>66</v>
      </c>
      <c r="E89" t="s">
        <v>118</v>
      </c>
      <c r="F89">
        <v>0.35</v>
      </c>
      <c r="G89">
        <v>0</v>
      </c>
      <c r="H89">
        <v>0</v>
      </c>
      <c r="I89">
        <v>6.6666669999999997E-2</v>
      </c>
      <c r="J89">
        <v>6.6666669999999997E-2</v>
      </c>
      <c r="K89">
        <v>25</v>
      </c>
      <c r="L89">
        <v>0</v>
      </c>
      <c r="M89">
        <v>0.8</v>
      </c>
      <c r="N89">
        <v>0.3</v>
      </c>
      <c r="O89">
        <v>0.33</v>
      </c>
      <c r="P89">
        <v>0</v>
      </c>
      <c r="Q89">
        <v>0.755</v>
      </c>
      <c r="X89">
        <v>1</v>
      </c>
      <c r="Y89">
        <v>4.3</v>
      </c>
      <c r="Z89">
        <v>0.4</v>
      </c>
      <c r="AA89">
        <v>0.05</v>
      </c>
      <c r="AD89">
        <f t="shared" si="6"/>
        <v>1.2577499999999998E-2</v>
      </c>
      <c r="AG89">
        <f t="shared" si="7"/>
        <v>2.5</v>
      </c>
      <c r="AH89">
        <f t="shared" si="5"/>
        <v>2.1367521367521367</v>
      </c>
      <c r="AI89">
        <f t="shared" si="8"/>
        <v>0.46800000000000003</v>
      </c>
    </row>
    <row r="90" spans="1:35" x14ac:dyDescent="0.3">
      <c r="A90">
        <v>0.59</v>
      </c>
      <c r="B90" t="s">
        <v>124</v>
      </c>
      <c r="C90" t="s">
        <v>37</v>
      </c>
      <c r="D90" t="s">
        <v>66</v>
      </c>
      <c r="E90" t="s">
        <v>118</v>
      </c>
      <c r="F90">
        <v>0.35</v>
      </c>
      <c r="G90">
        <v>0</v>
      </c>
      <c r="H90">
        <v>0</v>
      </c>
      <c r="I90">
        <v>6.6666669999999997E-2</v>
      </c>
      <c r="J90">
        <v>6.6666669999999997E-2</v>
      </c>
      <c r="K90">
        <v>25</v>
      </c>
      <c r="L90">
        <v>0</v>
      </c>
      <c r="M90">
        <v>0.8</v>
      </c>
      <c r="N90">
        <v>0.3</v>
      </c>
      <c r="O90">
        <v>0.33</v>
      </c>
      <c r="P90">
        <v>0</v>
      </c>
      <c r="Q90">
        <v>0.755</v>
      </c>
      <c r="X90">
        <v>1</v>
      </c>
      <c r="Y90">
        <v>4.3</v>
      </c>
      <c r="Z90">
        <v>0.4</v>
      </c>
      <c r="AA90">
        <v>0.05</v>
      </c>
      <c r="AD90">
        <f t="shared" si="6"/>
        <v>6.3425E-3</v>
      </c>
      <c r="AG90">
        <f t="shared" si="7"/>
        <v>2.5</v>
      </c>
      <c r="AH90">
        <f t="shared" si="5"/>
        <v>4.2372881355932206</v>
      </c>
      <c r="AI90">
        <f t="shared" si="8"/>
        <v>0.23599999999999999</v>
      </c>
    </row>
    <row r="91" spans="1:35" x14ac:dyDescent="0.3">
      <c r="A91">
        <v>1.17</v>
      </c>
      <c r="B91" t="s">
        <v>125</v>
      </c>
      <c r="C91" t="s">
        <v>37</v>
      </c>
      <c r="D91" t="s">
        <v>66</v>
      </c>
      <c r="E91" t="s">
        <v>118</v>
      </c>
      <c r="F91">
        <v>0.35</v>
      </c>
      <c r="G91">
        <v>0</v>
      </c>
      <c r="H91">
        <v>0</v>
      </c>
      <c r="I91">
        <v>6.6666669999999997E-2</v>
      </c>
      <c r="J91">
        <v>6.6666669999999997E-2</v>
      </c>
      <c r="K91">
        <v>25</v>
      </c>
      <c r="L91">
        <v>0</v>
      </c>
      <c r="M91">
        <v>0.8</v>
      </c>
      <c r="N91">
        <v>0.3</v>
      </c>
      <c r="O91">
        <v>0.33</v>
      </c>
      <c r="P91">
        <v>0</v>
      </c>
      <c r="Q91">
        <v>0.755</v>
      </c>
      <c r="X91">
        <v>1</v>
      </c>
      <c r="Y91">
        <v>4.3</v>
      </c>
      <c r="Z91">
        <v>0.4</v>
      </c>
      <c r="AA91">
        <v>0.05</v>
      </c>
      <c r="AD91">
        <f t="shared" si="6"/>
        <v>1.2577499999999998E-2</v>
      </c>
      <c r="AG91">
        <f t="shared" si="7"/>
        <v>2.5</v>
      </c>
      <c r="AH91">
        <f t="shared" si="5"/>
        <v>2.1367521367521367</v>
      </c>
      <c r="AI91">
        <f t="shared" si="8"/>
        <v>0.46800000000000003</v>
      </c>
    </row>
    <row r="92" spans="1:35" x14ac:dyDescent="0.3">
      <c r="A92">
        <v>0.59</v>
      </c>
      <c r="B92" t="s">
        <v>126</v>
      </c>
      <c r="C92" t="s">
        <v>37</v>
      </c>
      <c r="D92" t="s">
        <v>66</v>
      </c>
      <c r="E92" t="s">
        <v>118</v>
      </c>
      <c r="F92">
        <v>0.35</v>
      </c>
      <c r="G92">
        <v>0</v>
      </c>
      <c r="H92">
        <v>0</v>
      </c>
      <c r="I92">
        <v>6.6666669999999997E-2</v>
      </c>
      <c r="J92">
        <v>6.6666669999999997E-2</v>
      </c>
      <c r="K92">
        <v>25</v>
      </c>
      <c r="L92">
        <v>0</v>
      </c>
      <c r="M92">
        <v>0.8</v>
      </c>
      <c r="N92">
        <v>0.3</v>
      </c>
      <c r="O92">
        <v>0.33</v>
      </c>
      <c r="P92">
        <v>0</v>
      </c>
      <c r="Q92">
        <v>0.755</v>
      </c>
      <c r="X92">
        <v>1</v>
      </c>
      <c r="Y92">
        <v>4.3</v>
      </c>
      <c r="Z92">
        <v>0.4</v>
      </c>
      <c r="AA92">
        <v>0.05</v>
      </c>
      <c r="AD92">
        <f t="shared" si="6"/>
        <v>6.3425E-3</v>
      </c>
      <c r="AG92">
        <f t="shared" si="7"/>
        <v>2.5</v>
      </c>
      <c r="AH92">
        <f t="shared" si="5"/>
        <v>4.2372881355932206</v>
      </c>
      <c r="AI92">
        <f t="shared" si="8"/>
        <v>0.23599999999999999</v>
      </c>
    </row>
    <row r="93" spans="1:35" x14ac:dyDescent="0.3">
      <c r="A93">
        <v>0.35</v>
      </c>
      <c r="B93" t="s">
        <v>127</v>
      </c>
      <c r="C93" t="s">
        <v>37</v>
      </c>
      <c r="D93" t="s">
        <v>66</v>
      </c>
      <c r="E93" t="s">
        <v>118</v>
      </c>
      <c r="F93">
        <v>0.35</v>
      </c>
      <c r="G93">
        <v>0</v>
      </c>
      <c r="H93">
        <v>0</v>
      </c>
      <c r="I93">
        <v>6.6666669999999997E-2</v>
      </c>
      <c r="J93">
        <v>6.6666669999999997E-2</v>
      </c>
      <c r="K93">
        <v>25</v>
      </c>
      <c r="L93">
        <v>0</v>
      </c>
      <c r="M93">
        <v>0.8</v>
      </c>
      <c r="N93">
        <v>0.3</v>
      </c>
      <c r="O93">
        <v>0.33</v>
      </c>
      <c r="P93">
        <v>0</v>
      </c>
      <c r="Q93">
        <v>0.755</v>
      </c>
      <c r="X93">
        <v>1</v>
      </c>
      <c r="Y93">
        <v>4.3</v>
      </c>
      <c r="Z93">
        <v>0.4</v>
      </c>
      <c r="AA93">
        <v>0.05</v>
      </c>
      <c r="AD93">
        <f t="shared" si="6"/>
        <v>3.7624999999999998E-3</v>
      </c>
      <c r="AG93">
        <f t="shared" si="7"/>
        <v>2.5</v>
      </c>
      <c r="AH93">
        <f t="shared" si="5"/>
        <v>7.1428571428571432</v>
      </c>
      <c r="AI93">
        <f t="shared" si="8"/>
        <v>0.13999999999999999</v>
      </c>
    </row>
    <row r="94" spans="1:35" x14ac:dyDescent="0.3">
      <c r="A94">
        <v>0.35</v>
      </c>
      <c r="B94" t="s">
        <v>128</v>
      </c>
      <c r="C94" t="s">
        <v>37</v>
      </c>
      <c r="D94" t="s">
        <v>66</v>
      </c>
      <c r="E94" t="s">
        <v>118</v>
      </c>
      <c r="F94">
        <v>0.35</v>
      </c>
      <c r="G94">
        <v>0</v>
      </c>
      <c r="H94">
        <v>0</v>
      </c>
      <c r="I94">
        <v>6.6666669999999997E-2</v>
      </c>
      <c r="J94">
        <v>6.6666669999999997E-2</v>
      </c>
      <c r="K94">
        <v>25</v>
      </c>
      <c r="L94">
        <v>0</v>
      </c>
      <c r="M94">
        <v>0.8</v>
      </c>
      <c r="N94">
        <v>0.3</v>
      </c>
      <c r="O94">
        <v>0.33</v>
      </c>
      <c r="P94">
        <v>0</v>
      </c>
      <c r="Q94">
        <v>0.755</v>
      </c>
      <c r="X94">
        <v>1</v>
      </c>
      <c r="Y94">
        <v>4.3</v>
      </c>
      <c r="Z94">
        <v>0.4</v>
      </c>
      <c r="AA94">
        <v>0.05</v>
      </c>
      <c r="AD94">
        <f t="shared" si="6"/>
        <v>3.7624999999999998E-3</v>
      </c>
      <c r="AG94">
        <f t="shared" si="7"/>
        <v>2.5</v>
      </c>
      <c r="AH94">
        <f t="shared" si="5"/>
        <v>7.1428571428571432</v>
      </c>
      <c r="AI94">
        <f t="shared" si="8"/>
        <v>0.13999999999999999</v>
      </c>
    </row>
    <row r="95" spans="1:35" x14ac:dyDescent="0.3">
      <c r="A95">
        <v>0.38</v>
      </c>
      <c r="B95" t="s">
        <v>129</v>
      </c>
      <c r="C95" t="s">
        <v>37</v>
      </c>
      <c r="D95" t="s">
        <v>66</v>
      </c>
      <c r="E95" t="s">
        <v>118</v>
      </c>
      <c r="F95">
        <v>0.35</v>
      </c>
      <c r="G95">
        <v>0</v>
      </c>
      <c r="H95">
        <v>0</v>
      </c>
      <c r="I95">
        <v>6.6666669999999997E-2</v>
      </c>
      <c r="J95">
        <v>6.6666669999999997E-2</v>
      </c>
      <c r="K95">
        <v>25</v>
      </c>
      <c r="L95">
        <v>0</v>
      </c>
      <c r="M95">
        <v>0.8</v>
      </c>
      <c r="N95">
        <v>0.3</v>
      </c>
      <c r="O95">
        <v>0.33</v>
      </c>
      <c r="P95">
        <v>0</v>
      </c>
      <c r="Q95">
        <v>0.755</v>
      </c>
      <c r="X95">
        <v>1</v>
      </c>
      <c r="Y95">
        <v>4.3</v>
      </c>
      <c r="Z95">
        <v>0.4</v>
      </c>
      <c r="AA95">
        <v>0.05</v>
      </c>
      <c r="AD95">
        <f t="shared" si="6"/>
        <v>4.0850000000000001E-3</v>
      </c>
      <c r="AG95">
        <f t="shared" si="7"/>
        <v>2.5</v>
      </c>
      <c r="AH95">
        <f t="shared" si="5"/>
        <v>6.5789473684210522</v>
      </c>
      <c r="AI95">
        <f t="shared" si="8"/>
        <v>0.152</v>
      </c>
    </row>
    <row r="96" spans="1:35" x14ac:dyDescent="0.3">
      <c r="A96">
        <v>0.99</v>
      </c>
      <c r="B96" t="s">
        <v>130</v>
      </c>
      <c r="C96" t="s">
        <v>37</v>
      </c>
      <c r="D96" t="s">
        <v>66</v>
      </c>
      <c r="E96" t="s">
        <v>118</v>
      </c>
      <c r="F96">
        <v>0.35</v>
      </c>
      <c r="G96">
        <v>0</v>
      </c>
      <c r="H96">
        <v>0</v>
      </c>
      <c r="I96">
        <v>6.6666669999999997E-2</v>
      </c>
      <c r="J96">
        <v>6.6666669999999997E-2</v>
      </c>
      <c r="K96">
        <v>25</v>
      </c>
      <c r="L96">
        <v>0</v>
      </c>
      <c r="M96">
        <v>0.8</v>
      </c>
      <c r="N96">
        <v>0.3</v>
      </c>
      <c r="O96">
        <v>0.33</v>
      </c>
      <c r="P96">
        <v>0</v>
      </c>
      <c r="Q96">
        <v>0.755</v>
      </c>
      <c r="X96">
        <v>1</v>
      </c>
      <c r="Y96">
        <v>4.3</v>
      </c>
      <c r="Z96">
        <v>0.4</v>
      </c>
      <c r="AA96">
        <v>0.05</v>
      </c>
      <c r="AD96">
        <f t="shared" si="6"/>
        <v>1.0642499999999999E-2</v>
      </c>
      <c r="AG96">
        <f t="shared" si="7"/>
        <v>2.5</v>
      </c>
      <c r="AH96">
        <f t="shared" si="5"/>
        <v>2.5252525252525251</v>
      </c>
      <c r="AI96">
        <f t="shared" si="8"/>
        <v>0.39600000000000002</v>
      </c>
    </row>
    <row r="97" spans="1:35" x14ac:dyDescent="0.3">
      <c r="A97">
        <v>0.61</v>
      </c>
      <c r="B97" t="s">
        <v>131</v>
      </c>
      <c r="C97" t="s">
        <v>37</v>
      </c>
      <c r="D97" t="s">
        <v>66</v>
      </c>
      <c r="E97" t="s">
        <v>118</v>
      </c>
      <c r="F97">
        <v>0.35</v>
      </c>
      <c r="G97">
        <v>0</v>
      </c>
      <c r="H97">
        <v>0</v>
      </c>
      <c r="I97">
        <v>6.6666669999999997E-2</v>
      </c>
      <c r="J97">
        <v>6.6666669999999997E-2</v>
      </c>
      <c r="K97">
        <v>25</v>
      </c>
      <c r="L97">
        <v>0</v>
      </c>
      <c r="M97">
        <v>0.8</v>
      </c>
      <c r="N97">
        <v>0.3</v>
      </c>
      <c r="O97">
        <v>0.33</v>
      </c>
      <c r="P97">
        <v>0</v>
      </c>
      <c r="Q97">
        <v>0.755</v>
      </c>
      <c r="X97">
        <v>1</v>
      </c>
      <c r="Y97">
        <v>4.3</v>
      </c>
      <c r="Z97">
        <v>0.4</v>
      </c>
      <c r="AA97">
        <v>0.05</v>
      </c>
      <c r="AD97">
        <f t="shared" si="6"/>
        <v>6.5574999999999991E-3</v>
      </c>
      <c r="AG97">
        <f t="shared" si="7"/>
        <v>2.5</v>
      </c>
      <c r="AH97">
        <f t="shared" si="5"/>
        <v>4.0983606557377046</v>
      </c>
      <c r="AI97">
        <f t="shared" si="8"/>
        <v>0.24400000000000002</v>
      </c>
    </row>
    <row r="98" spans="1:35" x14ac:dyDescent="0.3">
      <c r="A98">
        <v>34.75</v>
      </c>
      <c r="B98" t="s">
        <v>132</v>
      </c>
      <c r="C98" t="s">
        <v>65</v>
      </c>
      <c r="D98" t="s">
        <v>66</v>
      </c>
      <c r="E98" t="s">
        <v>77</v>
      </c>
      <c r="F98">
        <v>0.31</v>
      </c>
      <c r="G98">
        <v>0</v>
      </c>
      <c r="H98">
        <v>0</v>
      </c>
      <c r="I98">
        <v>6.6666669999999997E-2</v>
      </c>
      <c r="J98">
        <v>6.6666669999999997E-2</v>
      </c>
      <c r="K98">
        <v>25</v>
      </c>
      <c r="L98">
        <v>0</v>
      </c>
      <c r="M98">
        <v>0.8</v>
      </c>
      <c r="N98">
        <v>0.3</v>
      </c>
      <c r="O98">
        <v>0.33</v>
      </c>
      <c r="P98">
        <v>0</v>
      </c>
      <c r="Q98">
        <v>0</v>
      </c>
      <c r="X98">
        <v>1</v>
      </c>
      <c r="Y98">
        <v>3.3</v>
      </c>
      <c r="Z98">
        <v>0.7</v>
      </c>
      <c r="AA98">
        <v>0.05</v>
      </c>
      <c r="AD98">
        <f t="shared" si="6"/>
        <v>0.16382142857142856</v>
      </c>
      <c r="AG98">
        <f t="shared" si="7"/>
        <v>2.5</v>
      </c>
      <c r="AH98">
        <f t="shared" ref="AH98:AH129" si="9">AG98/A98</f>
        <v>7.1942446043165464E-2</v>
      </c>
      <c r="AI98">
        <f t="shared" si="8"/>
        <v>13.9</v>
      </c>
    </row>
    <row r="99" spans="1:35" x14ac:dyDescent="0.3">
      <c r="A99">
        <v>4.9400000000000004</v>
      </c>
      <c r="B99" t="s">
        <v>133</v>
      </c>
      <c r="C99" t="s">
        <v>37</v>
      </c>
      <c r="D99" t="s">
        <v>66</v>
      </c>
      <c r="E99" t="s">
        <v>77</v>
      </c>
      <c r="F99">
        <v>0.31</v>
      </c>
      <c r="G99">
        <v>0</v>
      </c>
      <c r="H99">
        <v>0</v>
      </c>
      <c r="I99">
        <v>6.6666669999999997E-2</v>
      </c>
      <c r="J99">
        <v>6.6666669999999997E-2</v>
      </c>
      <c r="K99">
        <v>25</v>
      </c>
      <c r="L99">
        <v>0</v>
      </c>
      <c r="M99">
        <v>0.8</v>
      </c>
      <c r="N99">
        <v>0.3</v>
      </c>
      <c r="O99">
        <v>0.33</v>
      </c>
      <c r="P99">
        <v>0</v>
      </c>
      <c r="Q99">
        <v>0</v>
      </c>
      <c r="X99">
        <v>1</v>
      </c>
      <c r="Y99">
        <v>3.3</v>
      </c>
      <c r="Z99">
        <v>0.7</v>
      </c>
      <c r="AA99">
        <v>0.05</v>
      </c>
      <c r="AD99">
        <f t="shared" si="6"/>
        <v>2.3288571428571429E-2</v>
      </c>
      <c r="AG99">
        <f t="shared" si="7"/>
        <v>2.5</v>
      </c>
      <c r="AH99">
        <f t="shared" si="9"/>
        <v>0.50607287449392713</v>
      </c>
      <c r="AI99">
        <f t="shared" si="8"/>
        <v>1.976</v>
      </c>
    </row>
    <row r="100" spans="1:35" x14ac:dyDescent="0.3">
      <c r="A100">
        <v>61.63</v>
      </c>
      <c r="B100" t="s">
        <v>134</v>
      </c>
      <c r="C100" t="s">
        <v>65</v>
      </c>
      <c r="D100" t="s">
        <v>66</v>
      </c>
      <c r="E100" t="s">
        <v>67</v>
      </c>
      <c r="F100">
        <v>0.35</v>
      </c>
      <c r="G100">
        <v>0</v>
      </c>
      <c r="H100">
        <v>0</v>
      </c>
      <c r="I100">
        <v>6.6666669999999997E-2</v>
      </c>
      <c r="J100">
        <v>6.6666669999999997E-2</v>
      </c>
      <c r="K100">
        <v>25</v>
      </c>
      <c r="L100">
        <v>0</v>
      </c>
      <c r="M100">
        <v>0.8</v>
      </c>
      <c r="N100">
        <v>0.3</v>
      </c>
      <c r="O100">
        <v>0.33</v>
      </c>
      <c r="P100">
        <v>0</v>
      </c>
      <c r="Q100">
        <v>0.57399999999999995</v>
      </c>
      <c r="X100">
        <v>1</v>
      </c>
      <c r="Y100">
        <v>4.2</v>
      </c>
      <c r="Z100">
        <v>0.6</v>
      </c>
      <c r="AA100">
        <v>0.05</v>
      </c>
      <c r="AD100">
        <f t="shared" si="6"/>
        <v>0.43141000000000002</v>
      </c>
      <c r="AG100">
        <f t="shared" si="7"/>
        <v>2.5</v>
      </c>
      <c r="AH100">
        <f t="shared" si="9"/>
        <v>4.0564660068148628E-2</v>
      </c>
      <c r="AI100">
        <f t="shared" si="8"/>
        <v>24.652000000000001</v>
      </c>
    </row>
    <row r="101" spans="1:35" x14ac:dyDescent="0.3">
      <c r="A101">
        <v>61.37</v>
      </c>
      <c r="B101" t="s">
        <v>135</v>
      </c>
      <c r="C101" t="s">
        <v>65</v>
      </c>
      <c r="D101" t="s">
        <v>66</v>
      </c>
      <c r="E101" t="s">
        <v>67</v>
      </c>
      <c r="F101">
        <v>0.35</v>
      </c>
      <c r="G101">
        <v>0</v>
      </c>
      <c r="H101">
        <v>0</v>
      </c>
      <c r="I101">
        <v>6.6666669999999997E-2</v>
      </c>
      <c r="J101">
        <v>6.6666669999999997E-2</v>
      </c>
      <c r="K101">
        <v>25</v>
      </c>
      <c r="L101">
        <v>0</v>
      </c>
      <c r="M101">
        <v>0.8</v>
      </c>
      <c r="N101">
        <v>0.3</v>
      </c>
      <c r="O101">
        <v>0.33</v>
      </c>
      <c r="P101">
        <v>0</v>
      </c>
      <c r="Q101">
        <v>0.57399999999999995</v>
      </c>
      <c r="X101">
        <v>1</v>
      </c>
      <c r="Y101">
        <v>4.2</v>
      </c>
      <c r="Z101">
        <v>0.6</v>
      </c>
      <c r="AA101">
        <v>0.05</v>
      </c>
      <c r="AD101">
        <f t="shared" si="6"/>
        <v>0.42959000000000003</v>
      </c>
      <c r="AG101">
        <f t="shared" si="7"/>
        <v>2.5</v>
      </c>
      <c r="AH101">
        <f t="shared" si="9"/>
        <v>4.0736516213133456E-2</v>
      </c>
      <c r="AI101">
        <f t="shared" si="8"/>
        <v>24.547999999999998</v>
      </c>
    </row>
    <row r="102" spans="1:35" x14ac:dyDescent="0.3">
      <c r="A102">
        <v>61.67</v>
      </c>
      <c r="B102" t="s">
        <v>136</v>
      </c>
      <c r="C102" t="s">
        <v>65</v>
      </c>
      <c r="D102" t="s">
        <v>66</v>
      </c>
      <c r="E102" t="s">
        <v>67</v>
      </c>
      <c r="F102">
        <v>0.35</v>
      </c>
      <c r="G102">
        <v>0</v>
      </c>
      <c r="H102">
        <v>0</v>
      </c>
      <c r="I102">
        <v>6.6666669999999997E-2</v>
      </c>
      <c r="J102">
        <v>6.6666669999999997E-2</v>
      </c>
      <c r="K102">
        <v>25</v>
      </c>
      <c r="L102">
        <v>0</v>
      </c>
      <c r="M102">
        <v>0.8</v>
      </c>
      <c r="N102">
        <v>0.3</v>
      </c>
      <c r="O102">
        <v>0.33</v>
      </c>
      <c r="P102">
        <v>0</v>
      </c>
      <c r="Q102">
        <v>0.57399999999999995</v>
      </c>
      <c r="X102">
        <v>1</v>
      </c>
      <c r="Y102">
        <v>4.2</v>
      </c>
      <c r="Z102">
        <v>0.6</v>
      </c>
      <c r="AA102">
        <v>0.05</v>
      </c>
      <c r="AD102">
        <f t="shared" si="6"/>
        <v>0.43169000000000002</v>
      </c>
      <c r="AG102">
        <f t="shared" si="7"/>
        <v>2.5</v>
      </c>
      <c r="AH102">
        <f t="shared" si="9"/>
        <v>4.0538349278417381E-2</v>
      </c>
      <c r="AI102">
        <f t="shared" si="8"/>
        <v>24.668000000000003</v>
      </c>
    </row>
    <row r="103" spans="1:35" x14ac:dyDescent="0.3">
      <c r="A103">
        <v>60.58</v>
      </c>
      <c r="B103" t="s">
        <v>137</v>
      </c>
      <c r="C103" t="s">
        <v>65</v>
      </c>
      <c r="D103" t="s">
        <v>66</v>
      </c>
      <c r="E103" t="s">
        <v>67</v>
      </c>
      <c r="F103">
        <v>0.35</v>
      </c>
      <c r="G103">
        <v>0</v>
      </c>
      <c r="H103">
        <v>0</v>
      </c>
      <c r="I103">
        <v>6.6666669999999997E-2</v>
      </c>
      <c r="J103">
        <v>6.6666669999999997E-2</v>
      </c>
      <c r="K103">
        <v>25</v>
      </c>
      <c r="L103">
        <v>0</v>
      </c>
      <c r="M103">
        <v>0.8</v>
      </c>
      <c r="N103">
        <v>0.3</v>
      </c>
      <c r="O103">
        <v>0.33</v>
      </c>
      <c r="P103">
        <v>0</v>
      </c>
      <c r="Q103">
        <v>0.57399999999999995</v>
      </c>
      <c r="X103">
        <v>1</v>
      </c>
      <c r="Y103">
        <v>4.2</v>
      </c>
      <c r="Z103">
        <v>0.6</v>
      </c>
      <c r="AA103">
        <v>0.05</v>
      </c>
      <c r="AD103">
        <f t="shared" si="6"/>
        <v>0.42405999999999999</v>
      </c>
      <c r="AG103">
        <f t="shared" si="7"/>
        <v>2.5</v>
      </c>
      <c r="AH103">
        <f t="shared" si="9"/>
        <v>4.1267745130406076E-2</v>
      </c>
      <c r="AI103">
        <f t="shared" si="8"/>
        <v>24.231999999999999</v>
      </c>
    </row>
    <row r="104" spans="1:35" x14ac:dyDescent="0.3">
      <c r="A104">
        <v>64.27</v>
      </c>
      <c r="B104" t="s">
        <v>138</v>
      </c>
      <c r="C104" t="s">
        <v>65</v>
      </c>
      <c r="D104" t="s">
        <v>66</v>
      </c>
      <c r="E104" t="s">
        <v>67</v>
      </c>
      <c r="F104">
        <v>0.35</v>
      </c>
      <c r="G104">
        <v>0</v>
      </c>
      <c r="H104">
        <v>0</v>
      </c>
      <c r="I104">
        <v>6.6666669999999997E-2</v>
      </c>
      <c r="J104">
        <v>6.6666669999999997E-2</v>
      </c>
      <c r="K104">
        <v>25</v>
      </c>
      <c r="L104">
        <v>0</v>
      </c>
      <c r="M104">
        <v>0.8</v>
      </c>
      <c r="N104">
        <v>0.3</v>
      </c>
      <c r="O104">
        <v>0.33</v>
      </c>
      <c r="P104">
        <v>0</v>
      </c>
      <c r="Q104">
        <v>0.57399999999999995</v>
      </c>
      <c r="X104">
        <v>1</v>
      </c>
      <c r="Y104">
        <v>4.2</v>
      </c>
      <c r="Z104">
        <v>0.6</v>
      </c>
      <c r="AA104">
        <v>0.05</v>
      </c>
      <c r="AD104">
        <f t="shared" si="6"/>
        <v>0.44988999999999996</v>
      </c>
      <c r="AG104">
        <f t="shared" si="7"/>
        <v>2.5</v>
      </c>
      <c r="AH104">
        <f t="shared" si="9"/>
        <v>3.8898397386027697E-2</v>
      </c>
      <c r="AI104">
        <f t="shared" si="8"/>
        <v>25.707999999999998</v>
      </c>
    </row>
    <row r="105" spans="1:35" x14ac:dyDescent="0.3">
      <c r="A105">
        <v>64.61</v>
      </c>
      <c r="B105" t="s">
        <v>139</v>
      </c>
      <c r="C105" t="s">
        <v>65</v>
      </c>
      <c r="D105" t="s">
        <v>66</v>
      </c>
      <c r="E105" t="s">
        <v>67</v>
      </c>
      <c r="F105">
        <v>0.35</v>
      </c>
      <c r="G105">
        <v>0</v>
      </c>
      <c r="H105">
        <v>0</v>
      </c>
      <c r="I105">
        <v>6.6666669999999997E-2</v>
      </c>
      <c r="J105">
        <v>6.6666669999999997E-2</v>
      </c>
      <c r="K105">
        <v>25</v>
      </c>
      <c r="L105">
        <v>0</v>
      </c>
      <c r="M105">
        <v>0.8</v>
      </c>
      <c r="N105">
        <v>0.3</v>
      </c>
      <c r="O105">
        <v>0.33</v>
      </c>
      <c r="P105">
        <v>0</v>
      </c>
      <c r="Q105">
        <v>0.57399999999999995</v>
      </c>
      <c r="X105">
        <v>1</v>
      </c>
      <c r="Y105">
        <v>4.2</v>
      </c>
      <c r="Z105">
        <v>0.6</v>
      </c>
      <c r="AA105">
        <v>0.05</v>
      </c>
      <c r="AD105">
        <f t="shared" si="6"/>
        <v>0.45227000000000006</v>
      </c>
      <c r="AG105">
        <f t="shared" si="7"/>
        <v>2.5</v>
      </c>
      <c r="AH105">
        <f t="shared" si="9"/>
        <v>3.8693700665531655E-2</v>
      </c>
      <c r="AI105">
        <f t="shared" si="8"/>
        <v>25.843999999999998</v>
      </c>
    </row>
    <row r="106" spans="1:35" x14ac:dyDescent="0.3">
      <c r="A106">
        <v>63.37</v>
      </c>
      <c r="B106" t="s">
        <v>140</v>
      </c>
      <c r="C106" t="s">
        <v>65</v>
      </c>
      <c r="D106" t="s">
        <v>66</v>
      </c>
      <c r="E106" t="s">
        <v>67</v>
      </c>
      <c r="F106">
        <v>0.35</v>
      </c>
      <c r="G106">
        <v>0</v>
      </c>
      <c r="H106">
        <v>0</v>
      </c>
      <c r="I106">
        <v>6.6666669999999997E-2</v>
      </c>
      <c r="J106">
        <v>6.6666669999999997E-2</v>
      </c>
      <c r="K106">
        <v>25</v>
      </c>
      <c r="L106">
        <v>0</v>
      </c>
      <c r="M106">
        <v>0.8</v>
      </c>
      <c r="N106">
        <v>0.3</v>
      </c>
      <c r="O106">
        <v>0.33</v>
      </c>
      <c r="P106">
        <v>0</v>
      </c>
      <c r="Q106">
        <v>0.57399999999999995</v>
      </c>
      <c r="X106">
        <v>1</v>
      </c>
      <c r="Y106">
        <v>4.2</v>
      </c>
      <c r="Z106">
        <v>0.6</v>
      </c>
      <c r="AA106">
        <v>0.05</v>
      </c>
      <c r="AD106">
        <f t="shared" si="6"/>
        <v>0.44358999999999998</v>
      </c>
      <c r="AG106">
        <f t="shared" si="7"/>
        <v>2.5</v>
      </c>
      <c r="AH106">
        <f t="shared" si="9"/>
        <v>3.9450844248066913E-2</v>
      </c>
      <c r="AI106">
        <f t="shared" si="8"/>
        <v>25.347999999999995</v>
      </c>
    </row>
    <row r="107" spans="1:35" x14ac:dyDescent="0.3">
      <c r="A107">
        <v>64.06</v>
      </c>
      <c r="B107" t="s">
        <v>141</v>
      </c>
      <c r="C107" t="s">
        <v>65</v>
      </c>
      <c r="D107" t="s">
        <v>66</v>
      </c>
      <c r="E107" t="s">
        <v>67</v>
      </c>
      <c r="F107">
        <v>0.35</v>
      </c>
      <c r="G107">
        <v>0</v>
      </c>
      <c r="H107">
        <v>0</v>
      </c>
      <c r="I107">
        <v>6.6666669999999997E-2</v>
      </c>
      <c r="J107">
        <v>6.6666669999999997E-2</v>
      </c>
      <c r="K107">
        <v>25</v>
      </c>
      <c r="L107">
        <v>0</v>
      </c>
      <c r="M107">
        <v>0.8</v>
      </c>
      <c r="N107">
        <v>0.3</v>
      </c>
      <c r="O107">
        <v>0.33</v>
      </c>
      <c r="P107">
        <v>0</v>
      </c>
      <c r="Q107">
        <v>0.57399999999999995</v>
      </c>
      <c r="X107">
        <v>1</v>
      </c>
      <c r="Y107">
        <v>4.2</v>
      </c>
      <c r="Z107">
        <v>0.6</v>
      </c>
      <c r="AA107">
        <v>0.05</v>
      </c>
      <c r="AD107">
        <f t="shared" si="6"/>
        <v>0.44842000000000004</v>
      </c>
      <c r="AG107">
        <f t="shared" si="7"/>
        <v>2.5</v>
      </c>
      <c r="AH107">
        <f t="shared" si="9"/>
        <v>3.9025913206369028E-2</v>
      </c>
      <c r="AI107">
        <f t="shared" si="8"/>
        <v>25.623999999999999</v>
      </c>
    </row>
    <row r="108" spans="1:35" x14ac:dyDescent="0.3">
      <c r="A108">
        <v>123.6</v>
      </c>
      <c r="B108" t="s">
        <v>142</v>
      </c>
      <c r="C108" t="s">
        <v>65</v>
      </c>
      <c r="D108" t="s">
        <v>66</v>
      </c>
      <c r="E108" t="s">
        <v>67</v>
      </c>
      <c r="F108">
        <v>0.35</v>
      </c>
      <c r="G108">
        <v>0</v>
      </c>
      <c r="H108">
        <v>0</v>
      </c>
      <c r="I108">
        <v>6.6666669999999997E-2</v>
      </c>
      <c r="J108">
        <v>6.6666669999999997E-2</v>
      </c>
      <c r="K108">
        <v>25</v>
      </c>
      <c r="L108">
        <v>0</v>
      </c>
      <c r="M108">
        <v>0.8</v>
      </c>
      <c r="N108">
        <v>0.3</v>
      </c>
      <c r="O108">
        <v>0.33</v>
      </c>
      <c r="P108">
        <v>0</v>
      </c>
      <c r="Q108">
        <v>0.57399999999999995</v>
      </c>
      <c r="X108">
        <v>1</v>
      </c>
      <c r="Y108">
        <v>4.2</v>
      </c>
      <c r="Z108">
        <v>0.6</v>
      </c>
      <c r="AA108">
        <v>0.05</v>
      </c>
      <c r="AD108">
        <f t="shared" si="6"/>
        <v>0.86519999999999997</v>
      </c>
      <c r="AG108">
        <f t="shared" si="7"/>
        <v>2.5</v>
      </c>
      <c r="AH108">
        <f t="shared" si="9"/>
        <v>2.0226537216828482E-2</v>
      </c>
      <c r="AI108">
        <f t="shared" si="8"/>
        <v>49.439999999999991</v>
      </c>
    </row>
    <row r="109" spans="1:35" x14ac:dyDescent="0.3">
      <c r="A109">
        <v>122.78</v>
      </c>
      <c r="B109" t="s">
        <v>143</v>
      </c>
      <c r="C109" t="s">
        <v>65</v>
      </c>
      <c r="D109" t="s">
        <v>66</v>
      </c>
      <c r="E109" t="s">
        <v>67</v>
      </c>
      <c r="F109">
        <v>0.35</v>
      </c>
      <c r="G109">
        <v>0</v>
      </c>
      <c r="H109">
        <v>0</v>
      </c>
      <c r="I109">
        <v>6.6666669999999997E-2</v>
      </c>
      <c r="J109">
        <v>6.6666669999999997E-2</v>
      </c>
      <c r="K109">
        <v>25</v>
      </c>
      <c r="L109">
        <v>0</v>
      </c>
      <c r="M109">
        <v>0.8</v>
      </c>
      <c r="N109">
        <v>0.3</v>
      </c>
      <c r="O109">
        <v>0.33</v>
      </c>
      <c r="P109">
        <v>0</v>
      </c>
      <c r="Q109">
        <v>0.57399999999999995</v>
      </c>
      <c r="X109">
        <v>1</v>
      </c>
      <c r="Y109">
        <v>4.2</v>
      </c>
      <c r="Z109">
        <v>0.6</v>
      </c>
      <c r="AA109">
        <v>0.05</v>
      </c>
      <c r="AD109">
        <f t="shared" si="6"/>
        <v>0.85946000000000011</v>
      </c>
      <c r="AG109">
        <f t="shared" si="7"/>
        <v>2.5</v>
      </c>
      <c r="AH109">
        <f t="shared" si="9"/>
        <v>2.0361622414073952E-2</v>
      </c>
      <c r="AI109">
        <f t="shared" si="8"/>
        <v>49.112000000000002</v>
      </c>
    </row>
    <row r="110" spans="1:35" x14ac:dyDescent="0.3">
      <c r="A110">
        <v>130.35</v>
      </c>
      <c r="B110" t="s">
        <v>144</v>
      </c>
      <c r="C110" t="s">
        <v>65</v>
      </c>
      <c r="D110" t="s">
        <v>66</v>
      </c>
      <c r="E110" t="s">
        <v>67</v>
      </c>
      <c r="F110">
        <v>0.35</v>
      </c>
      <c r="G110">
        <v>0</v>
      </c>
      <c r="H110">
        <v>0</v>
      </c>
      <c r="I110">
        <v>6.6666669999999997E-2</v>
      </c>
      <c r="J110">
        <v>6.6666669999999997E-2</v>
      </c>
      <c r="K110">
        <v>25</v>
      </c>
      <c r="L110">
        <v>0</v>
      </c>
      <c r="M110">
        <v>0.8</v>
      </c>
      <c r="N110">
        <v>0.3</v>
      </c>
      <c r="O110">
        <v>0.33</v>
      </c>
      <c r="P110">
        <v>0</v>
      </c>
      <c r="Q110">
        <v>0.57399999999999995</v>
      </c>
      <c r="X110">
        <v>1</v>
      </c>
      <c r="Y110">
        <v>4.2</v>
      </c>
      <c r="Z110">
        <v>0.6</v>
      </c>
      <c r="AA110">
        <v>0.05</v>
      </c>
      <c r="AD110">
        <f t="shared" si="6"/>
        <v>0.91245000000000009</v>
      </c>
      <c r="AG110">
        <f t="shared" si="7"/>
        <v>2.5</v>
      </c>
      <c r="AH110">
        <f t="shared" si="9"/>
        <v>1.9179133103183737E-2</v>
      </c>
      <c r="AI110">
        <f t="shared" si="8"/>
        <v>52.14</v>
      </c>
    </row>
    <row r="111" spans="1:35" x14ac:dyDescent="0.3">
      <c r="A111">
        <v>130.03</v>
      </c>
      <c r="B111" t="s">
        <v>145</v>
      </c>
      <c r="C111" t="s">
        <v>65</v>
      </c>
      <c r="D111" t="s">
        <v>66</v>
      </c>
      <c r="E111" t="s">
        <v>67</v>
      </c>
      <c r="F111">
        <v>0.35</v>
      </c>
      <c r="G111">
        <v>0</v>
      </c>
      <c r="H111">
        <v>0</v>
      </c>
      <c r="I111">
        <v>6.6666669999999997E-2</v>
      </c>
      <c r="J111">
        <v>6.6666669999999997E-2</v>
      </c>
      <c r="K111">
        <v>25</v>
      </c>
      <c r="L111">
        <v>0</v>
      </c>
      <c r="M111">
        <v>0.8</v>
      </c>
      <c r="N111">
        <v>0.3</v>
      </c>
      <c r="O111">
        <v>0.33</v>
      </c>
      <c r="P111">
        <v>0</v>
      </c>
      <c r="Q111">
        <v>0.57399999999999995</v>
      </c>
      <c r="X111">
        <v>1</v>
      </c>
      <c r="Y111">
        <v>4.2</v>
      </c>
      <c r="Z111">
        <v>0.6</v>
      </c>
      <c r="AA111">
        <v>0.05</v>
      </c>
      <c r="AD111">
        <f t="shared" si="6"/>
        <v>0.91020999999999996</v>
      </c>
      <c r="AG111">
        <f t="shared" si="7"/>
        <v>2.5</v>
      </c>
      <c r="AH111">
        <f t="shared" si="9"/>
        <v>1.9226332384834267E-2</v>
      </c>
      <c r="AI111">
        <f t="shared" si="8"/>
        <v>52.012000000000008</v>
      </c>
    </row>
    <row r="112" spans="1:35" x14ac:dyDescent="0.3">
      <c r="A112">
        <v>55.57</v>
      </c>
      <c r="B112" t="s">
        <v>146</v>
      </c>
      <c r="C112" t="s">
        <v>51</v>
      </c>
      <c r="D112" t="s">
        <v>66</v>
      </c>
      <c r="E112" t="s">
        <v>67</v>
      </c>
      <c r="F112">
        <v>0.35</v>
      </c>
      <c r="G112">
        <v>0</v>
      </c>
      <c r="H112">
        <v>0</v>
      </c>
      <c r="I112">
        <v>6.6666669999999997E-2</v>
      </c>
      <c r="J112">
        <v>6.6666669999999997E-2</v>
      </c>
      <c r="K112">
        <v>25</v>
      </c>
      <c r="L112">
        <v>0</v>
      </c>
      <c r="M112">
        <v>0.8</v>
      </c>
      <c r="N112">
        <v>0.3</v>
      </c>
      <c r="O112">
        <v>0.33</v>
      </c>
      <c r="P112">
        <v>0</v>
      </c>
      <c r="Q112">
        <v>0.57399999999999995</v>
      </c>
      <c r="X112">
        <v>1</v>
      </c>
      <c r="Y112">
        <v>4.2</v>
      </c>
      <c r="Z112">
        <v>0.6</v>
      </c>
      <c r="AA112">
        <v>0.05</v>
      </c>
      <c r="AD112">
        <f t="shared" si="6"/>
        <v>0.38899</v>
      </c>
      <c r="AG112">
        <f t="shared" si="7"/>
        <v>2.5</v>
      </c>
      <c r="AH112">
        <f t="shared" si="9"/>
        <v>4.4988303041209286E-2</v>
      </c>
      <c r="AI112">
        <f t="shared" si="8"/>
        <v>22.227999999999998</v>
      </c>
    </row>
    <row r="113" spans="1:35" x14ac:dyDescent="0.3">
      <c r="A113">
        <v>55.56</v>
      </c>
      <c r="B113" t="s">
        <v>147</v>
      </c>
      <c r="C113" t="s">
        <v>51</v>
      </c>
      <c r="D113" t="s">
        <v>66</v>
      </c>
      <c r="E113" t="s">
        <v>67</v>
      </c>
      <c r="F113">
        <v>0.35</v>
      </c>
      <c r="G113">
        <v>0</v>
      </c>
      <c r="H113">
        <v>0</v>
      </c>
      <c r="I113">
        <v>6.6666669999999997E-2</v>
      </c>
      <c r="J113">
        <v>6.6666669999999997E-2</v>
      </c>
      <c r="K113">
        <v>25</v>
      </c>
      <c r="L113">
        <v>0</v>
      </c>
      <c r="M113">
        <v>0.8</v>
      </c>
      <c r="N113">
        <v>0.3</v>
      </c>
      <c r="O113">
        <v>0.33</v>
      </c>
      <c r="P113">
        <v>0</v>
      </c>
      <c r="Q113">
        <v>0.57399999999999995</v>
      </c>
      <c r="X113">
        <v>1</v>
      </c>
      <c r="Y113">
        <v>4.2</v>
      </c>
      <c r="Z113">
        <v>0.6</v>
      </c>
      <c r="AA113">
        <v>0.05</v>
      </c>
      <c r="AD113">
        <f t="shared" si="6"/>
        <v>0.38892000000000004</v>
      </c>
      <c r="AG113">
        <f t="shared" si="7"/>
        <v>2.5</v>
      </c>
      <c r="AH113">
        <f t="shared" si="9"/>
        <v>4.4996400287976961E-2</v>
      </c>
      <c r="AI113">
        <f t="shared" si="8"/>
        <v>22.224</v>
      </c>
    </row>
    <row r="114" spans="1:35" x14ac:dyDescent="0.3">
      <c r="A114">
        <v>59.34</v>
      </c>
      <c r="B114" t="s">
        <v>148</v>
      </c>
      <c r="C114" t="s">
        <v>51</v>
      </c>
      <c r="D114" t="s">
        <v>66</v>
      </c>
      <c r="E114" t="s">
        <v>67</v>
      </c>
      <c r="F114">
        <v>0.35</v>
      </c>
      <c r="G114">
        <v>0</v>
      </c>
      <c r="H114">
        <v>0</v>
      </c>
      <c r="I114">
        <v>6.6666669999999997E-2</v>
      </c>
      <c r="J114">
        <v>6.6666669999999997E-2</v>
      </c>
      <c r="K114">
        <v>25</v>
      </c>
      <c r="L114">
        <v>0</v>
      </c>
      <c r="M114">
        <v>0.8</v>
      </c>
      <c r="N114">
        <v>0.3</v>
      </c>
      <c r="O114">
        <v>0.33</v>
      </c>
      <c r="P114">
        <v>0</v>
      </c>
      <c r="Q114">
        <v>0.57399999999999995</v>
      </c>
      <c r="X114">
        <v>1</v>
      </c>
      <c r="Y114">
        <v>4.2</v>
      </c>
      <c r="Z114">
        <v>0.6</v>
      </c>
      <c r="AA114">
        <v>0.05</v>
      </c>
      <c r="AD114">
        <f t="shared" si="6"/>
        <v>0.41538000000000008</v>
      </c>
      <c r="AG114">
        <f t="shared" si="7"/>
        <v>2.5</v>
      </c>
      <c r="AH114">
        <f t="shared" si="9"/>
        <v>4.2130097741826758E-2</v>
      </c>
      <c r="AI114">
        <f t="shared" si="8"/>
        <v>23.736000000000001</v>
      </c>
    </row>
    <row r="115" spans="1:35" x14ac:dyDescent="0.3">
      <c r="A115">
        <v>59.34</v>
      </c>
      <c r="B115" t="s">
        <v>149</v>
      </c>
      <c r="C115" t="s">
        <v>51</v>
      </c>
      <c r="D115" t="s">
        <v>66</v>
      </c>
      <c r="E115" t="s">
        <v>67</v>
      </c>
      <c r="F115">
        <v>0.35</v>
      </c>
      <c r="G115">
        <v>0</v>
      </c>
      <c r="H115">
        <v>0</v>
      </c>
      <c r="I115">
        <v>6.6666669999999997E-2</v>
      </c>
      <c r="J115">
        <v>6.6666669999999997E-2</v>
      </c>
      <c r="K115">
        <v>25</v>
      </c>
      <c r="L115">
        <v>0</v>
      </c>
      <c r="M115">
        <v>0.8</v>
      </c>
      <c r="N115">
        <v>0.3</v>
      </c>
      <c r="O115">
        <v>0.33</v>
      </c>
      <c r="P115">
        <v>0</v>
      </c>
      <c r="Q115">
        <v>0.57399999999999995</v>
      </c>
      <c r="X115">
        <v>1</v>
      </c>
      <c r="Y115">
        <v>4.2</v>
      </c>
      <c r="Z115">
        <v>0.6</v>
      </c>
      <c r="AA115">
        <v>0.05</v>
      </c>
      <c r="AD115">
        <f t="shared" si="6"/>
        <v>0.41538000000000008</v>
      </c>
      <c r="AG115">
        <f t="shared" si="7"/>
        <v>2.5</v>
      </c>
      <c r="AH115">
        <f t="shared" si="9"/>
        <v>4.2130097741826758E-2</v>
      </c>
      <c r="AI115">
        <f t="shared" si="8"/>
        <v>23.736000000000001</v>
      </c>
    </row>
    <row r="116" spans="1:35" x14ac:dyDescent="0.3">
      <c r="A116">
        <v>60.41</v>
      </c>
      <c r="B116" t="s">
        <v>150</v>
      </c>
      <c r="C116" t="s">
        <v>51</v>
      </c>
      <c r="D116" t="s">
        <v>66</v>
      </c>
      <c r="E116" t="s">
        <v>67</v>
      </c>
      <c r="F116">
        <v>0.35</v>
      </c>
      <c r="G116">
        <v>0</v>
      </c>
      <c r="H116">
        <v>0</v>
      </c>
      <c r="I116">
        <v>6.6666669999999997E-2</v>
      </c>
      <c r="J116">
        <v>6.6666669999999997E-2</v>
      </c>
      <c r="K116">
        <v>25</v>
      </c>
      <c r="L116">
        <v>0</v>
      </c>
      <c r="M116">
        <v>0.8</v>
      </c>
      <c r="N116">
        <v>0.3</v>
      </c>
      <c r="O116">
        <v>0.33</v>
      </c>
      <c r="P116">
        <v>0</v>
      </c>
      <c r="Q116">
        <v>0.57399999999999995</v>
      </c>
      <c r="X116">
        <v>1</v>
      </c>
      <c r="Y116">
        <v>4.2</v>
      </c>
      <c r="Z116">
        <v>0.6</v>
      </c>
      <c r="AA116">
        <v>0.05</v>
      </c>
      <c r="AD116">
        <f t="shared" si="6"/>
        <v>0.42287000000000002</v>
      </c>
      <c r="AG116">
        <f t="shared" si="7"/>
        <v>2.5</v>
      </c>
      <c r="AH116">
        <f t="shared" si="9"/>
        <v>4.1383876841582519E-2</v>
      </c>
      <c r="AI116">
        <f t="shared" si="8"/>
        <v>24.164000000000001</v>
      </c>
    </row>
    <row r="117" spans="1:35" x14ac:dyDescent="0.3">
      <c r="A117">
        <v>60.32</v>
      </c>
      <c r="B117" t="s">
        <v>151</v>
      </c>
      <c r="C117" t="s">
        <v>51</v>
      </c>
      <c r="D117" t="s">
        <v>66</v>
      </c>
      <c r="E117" t="s">
        <v>67</v>
      </c>
      <c r="F117">
        <v>0.35</v>
      </c>
      <c r="G117">
        <v>0</v>
      </c>
      <c r="H117">
        <v>0</v>
      </c>
      <c r="I117">
        <v>6.6666669999999997E-2</v>
      </c>
      <c r="J117">
        <v>6.6666669999999997E-2</v>
      </c>
      <c r="K117">
        <v>25</v>
      </c>
      <c r="L117">
        <v>0</v>
      </c>
      <c r="M117">
        <v>0.8</v>
      </c>
      <c r="N117">
        <v>0.3</v>
      </c>
      <c r="O117">
        <v>0.33</v>
      </c>
      <c r="P117">
        <v>0</v>
      </c>
      <c r="Q117">
        <v>0.57399999999999995</v>
      </c>
      <c r="X117">
        <v>1</v>
      </c>
      <c r="Y117">
        <v>4.2</v>
      </c>
      <c r="Z117">
        <v>0.6</v>
      </c>
      <c r="AA117">
        <v>0.05</v>
      </c>
      <c r="AD117">
        <f t="shared" si="6"/>
        <v>0.42224000000000006</v>
      </c>
      <c r="AG117">
        <f t="shared" si="7"/>
        <v>2.5</v>
      </c>
      <c r="AH117">
        <f t="shared" si="9"/>
        <v>4.1445623342175067E-2</v>
      </c>
      <c r="AI117">
        <f t="shared" si="8"/>
        <v>24.128</v>
      </c>
    </row>
    <row r="118" spans="1:35" x14ac:dyDescent="0.3">
      <c r="A118">
        <v>60.48</v>
      </c>
      <c r="B118" t="s">
        <v>152</v>
      </c>
      <c r="C118" t="s">
        <v>51</v>
      </c>
      <c r="D118" t="s">
        <v>66</v>
      </c>
      <c r="E118" t="s">
        <v>67</v>
      </c>
      <c r="F118">
        <v>0.35</v>
      </c>
      <c r="G118">
        <v>0</v>
      </c>
      <c r="H118">
        <v>0</v>
      </c>
      <c r="I118">
        <v>6.6666669999999997E-2</v>
      </c>
      <c r="J118">
        <v>6.6666669999999997E-2</v>
      </c>
      <c r="K118">
        <v>25</v>
      </c>
      <c r="L118">
        <v>0</v>
      </c>
      <c r="M118">
        <v>0.8</v>
      </c>
      <c r="N118">
        <v>0.3</v>
      </c>
      <c r="O118">
        <v>0.33</v>
      </c>
      <c r="P118">
        <v>0</v>
      </c>
      <c r="Q118">
        <v>0.57399999999999995</v>
      </c>
      <c r="X118">
        <v>1</v>
      </c>
      <c r="Y118">
        <v>4.2</v>
      </c>
      <c r="Z118">
        <v>0.6</v>
      </c>
      <c r="AA118">
        <v>0.05</v>
      </c>
      <c r="AD118">
        <f t="shared" si="6"/>
        <v>0.42335999999999996</v>
      </c>
      <c r="AG118">
        <f t="shared" si="7"/>
        <v>2.5</v>
      </c>
      <c r="AH118">
        <f t="shared" si="9"/>
        <v>4.1335978835978837E-2</v>
      </c>
      <c r="AI118">
        <f t="shared" si="8"/>
        <v>24.192</v>
      </c>
    </row>
    <row r="119" spans="1:35" x14ac:dyDescent="0.3">
      <c r="A119">
        <v>61.34</v>
      </c>
      <c r="B119" t="s">
        <v>153</v>
      </c>
      <c r="C119" t="s">
        <v>51</v>
      </c>
      <c r="D119" t="s">
        <v>66</v>
      </c>
      <c r="E119" t="s">
        <v>67</v>
      </c>
      <c r="F119">
        <v>0.35</v>
      </c>
      <c r="G119">
        <v>0</v>
      </c>
      <c r="H119">
        <v>0</v>
      </c>
      <c r="I119">
        <v>6.6666669999999997E-2</v>
      </c>
      <c r="J119">
        <v>6.6666669999999997E-2</v>
      </c>
      <c r="K119">
        <v>25</v>
      </c>
      <c r="L119">
        <v>0</v>
      </c>
      <c r="M119">
        <v>0.8</v>
      </c>
      <c r="N119">
        <v>0.3</v>
      </c>
      <c r="O119">
        <v>0.33</v>
      </c>
      <c r="P119">
        <v>0</v>
      </c>
      <c r="Q119">
        <v>0.57399999999999995</v>
      </c>
      <c r="X119">
        <v>1</v>
      </c>
      <c r="Y119">
        <v>4.2</v>
      </c>
      <c r="Z119">
        <v>0.6</v>
      </c>
      <c r="AA119">
        <v>0.05</v>
      </c>
      <c r="AD119">
        <f t="shared" si="6"/>
        <v>0.42938000000000009</v>
      </c>
      <c r="AG119">
        <f t="shared" si="7"/>
        <v>2.5</v>
      </c>
      <c r="AH119">
        <f t="shared" si="9"/>
        <v>4.0756439517443753E-2</v>
      </c>
      <c r="AI119">
        <f t="shared" si="8"/>
        <v>24.536000000000001</v>
      </c>
    </row>
    <row r="120" spans="1:35" x14ac:dyDescent="0.3">
      <c r="A120">
        <v>117.07</v>
      </c>
      <c r="B120" t="s">
        <v>154</v>
      </c>
      <c r="C120" t="s">
        <v>51</v>
      </c>
      <c r="D120" t="s">
        <v>66</v>
      </c>
      <c r="E120" t="s">
        <v>67</v>
      </c>
      <c r="F120">
        <v>0.35</v>
      </c>
      <c r="G120">
        <v>0</v>
      </c>
      <c r="H120">
        <v>0</v>
      </c>
      <c r="I120">
        <v>6.6666669999999997E-2</v>
      </c>
      <c r="J120">
        <v>6.6666669999999997E-2</v>
      </c>
      <c r="K120">
        <v>25</v>
      </c>
      <c r="L120">
        <v>0</v>
      </c>
      <c r="M120">
        <v>0.8</v>
      </c>
      <c r="N120">
        <v>0.3</v>
      </c>
      <c r="O120">
        <v>0.33</v>
      </c>
      <c r="P120">
        <v>0</v>
      </c>
      <c r="Q120">
        <v>0.57399999999999995</v>
      </c>
      <c r="X120">
        <v>1</v>
      </c>
      <c r="Y120">
        <v>4.2</v>
      </c>
      <c r="Z120">
        <v>0.6</v>
      </c>
      <c r="AA120">
        <v>0.05</v>
      </c>
      <c r="AD120">
        <f t="shared" si="6"/>
        <v>0.81949000000000005</v>
      </c>
      <c r="AG120">
        <f t="shared" si="7"/>
        <v>2.5</v>
      </c>
      <c r="AH120">
        <f t="shared" si="9"/>
        <v>2.135474502434441E-2</v>
      </c>
      <c r="AI120">
        <f t="shared" si="8"/>
        <v>46.827999999999996</v>
      </c>
    </row>
    <row r="121" spans="1:35" x14ac:dyDescent="0.3">
      <c r="A121">
        <v>119.22</v>
      </c>
      <c r="B121" t="s">
        <v>155</v>
      </c>
      <c r="C121" t="s">
        <v>51</v>
      </c>
      <c r="D121" t="s">
        <v>66</v>
      </c>
      <c r="E121" t="s">
        <v>67</v>
      </c>
      <c r="F121">
        <v>0.35</v>
      </c>
      <c r="G121">
        <v>0</v>
      </c>
      <c r="H121">
        <v>0</v>
      </c>
      <c r="I121">
        <v>6.6666669999999997E-2</v>
      </c>
      <c r="J121">
        <v>6.6666669999999997E-2</v>
      </c>
      <c r="K121">
        <v>25</v>
      </c>
      <c r="L121">
        <v>0</v>
      </c>
      <c r="M121">
        <v>0.8</v>
      </c>
      <c r="N121">
        <v>0.3</v>
      </c>
      <c r="O121">
        <v>0.33</v>
      </c>
      <c r="P121">
        <v>0</v>
      </c>
      <c r="Q121">
        <v>0.57399999999999995</v>
      </c>
      <c r="X121">
        <v>1</v>
      </c>
      <c r="Y121">
        <v>4.2</v>
      </c>
      <c r="Z121">
        <v>0.6</v>
      </c>
      <c r="AA121">
        <v>0.05</v>
      </c>
      <c r="AD121">
        <f t="shared" si="6"/>
        <v>0.83453999999999995</v>
      </c>
      <c r="AG121">
        <f t="shared" si="7"/>
        <v>2.5</v>
      </c>
      <c r="AH121">
        <f t="shared" si="9"/>
        <v>2.096963596711961E-2</v>
      </c>
      <c r="AI121">
        <f t="shared" si="8"/>
        <v>47.688000000000002</v>
      </c>
    </row>
    <row r="122" spans="1:35" x14ac:dyDescent="0.3">
      <c r="A122">
        <v>122.98</v>
      </c>
      <c r="B122" t="s">
        <v>156</v>
      </c>
      <c r="C122" t="s">
        <v>51</v>
      </c>
      <c r="D122" t="s">
        <v>66</v>
      </c>
      <c r="E122" t="s">
        <v>67</v>
      </c>
      <c r="F122">
        <v>0.35</v>
      </c>
      <c r="G122">
        <v>0</v>
      </c>
      <c r="H122">
        <v>0</v>
      </c>
      <c r="I122">
        <v>6.6666669999999997E-2</v>
      </c>
      <c r="J122">
        <v>6.6666669999999997E-2</v>
      </c>
      <c r="K122">
        <v>25</v>
      </c>
      <c r="L122">
        <v>0</v>
      </c>
      <c r="M122">
        <v>0.8</v>
      </c>
      <c r="N122">
        <v>0.3</v>
      </c>
      <c r="O122">
        <v>0.33</v>
      </c>
      <c r="P122">
        <v>0</v>
      </c>
      <c r="Q122">
        <v>0.57399999999999995</v>
      </c>
      <c r="X122">
        <v>1</v>
      </c>
      <c r="Y122">
        <v>4.2</v>
      </c>
      <c r="Z122">
        <v>0.6</v>
      </c>
      <c r="AA122">
        <v>0.05</v>
      </c>
      <c r="AD122">
        <f t="shared" si="6"/>
        <v>0.86086000000000018</v>
      </c>
      <c r="AG122">
        <f t="shared" si="7"/>
        <v>2.5</v>
      </c>
      <c r="AH122">
        <f t="shared" si="9"/>
        <v>2.0328508700601725E-2</v>
      </c>
      <c r="AI122">
        <f t="shared" si="8"/>
        <v>49.192</v>
      </c>
    </row>
    <row r="123" spans="1:35" x14ac:dyDescent="0.3">
      <c r="A123">
        <v>125.32</v>
      </c>
      <c r="B123" t="s">
        <v>157</v>
      </c>
      <c r="C123" t="s">
        <v>51</v>
      </c>
      <c r="D123" t="s">
        <v>66</v>
      </c>
      <c r="E123" t="s">
        <v>67</v>
      </c>
      <c r="F123">
        <v>0.35</v>
      </c>
      <c r="G123">
        <v>0</v>
      </c>
      <c r="H123">
        <v>0</v>
      </c>
      <c r="I123">
        <v>6.6666669999999997E-2</v>
      </c>
      <c r="J123">
        <v>6.6666669999999997E-2</v>
      </c>
      <c r="K123">
        <v>25</v>
      </c>
      <c r="L123">
        <v>0</v>
      </c>
      <c r="M123">
        <v>0.8</v>
      </c>
      <c r="N123">
        <v>0.3</v>
      </c>
      <c r="O123">
        <v>0.33</v>
      </c>
      <c r="P123">
        <v>0</v>
      </c>
      <c r="Q123">
        <v>0.57399999999999995</v>
      </c>
      <c r="X123">
        <v>1</v>
      </c>
      <c r="Y123">
        <v>4.2</v>
      </c>
      <c r="Z123">
        <v>0.6</v>
      </c>
      <c r="AA123">
        <v>0.05</v>
      </c>
      <c r="AD123">
        <f t="shared" si="6"/>
        <v>0.87723999999999991</v>
      </c>
      <c r="AG123">
        <f t="shared" si="7"/>
        <v>2.5</v>
      </c>
      <c r="AH123">
        <f t="shared" si="9"/>
        <v>1.9948930737312482E-2</v>
      </c>
      <c r="AI123">
        <f t="shared" si="8"/>
        <v>50.127999999999993</v>
      </c>
    </row>
    <row r="124" spans="1:35" x14ac:dyDescent="0.3">
      <c r="A124">
        <v>65.63</v>
      </c>
      <c r="B124" t="s">
        <v>158</v>
      </c>
      <c r="C124" t="s">
        <v>27</v>
      </c>
      <c r="D124" t="s">
        <v>66</v>
      </c>
      <c r="E124" t="s">
        <v>67</v>
      </c>
      <c r="F124">
        <v>0.35</v>
      </c>
      <c r="G124">
        <v>0</v>
      </c>
      <c r="H124">
        <v>0</v>
      </c>
      <c r="I124">
        <v>6.6666669999999997E-2</v>
      </c>
      <c r="J124">
        <v>6.6666669999999997E-2</v>
      </c>
      <c r="K124">
        <v>25</v>
      </c>
      <c r="L124">
        <v>0</v>
      </c>
      <c r="M124">
        <v>0.8</v>
      </c>
      <c r="N124">
        <v>0.3</v>
      </c>
      <c r="O124">
        <v>0.33</v>
      </c>
      <c r="P124">
        <v>0</v>
      </c>
      <c r="Q124">
        <v>0.57399999999999995</v>
      </c>
      <c r="X124">
        <v>1</v>
      </c>
      <c r="Y124">
        <v>4.2</v>
      </c>
      <c r="Z124">
        <v>0.6</v>
      </c>
      <c r="AA124">
        <v>0.05</v>
      </c>
      <c r="AD124">
        <f t="shared" si="6"/>
        <v>0.45941000000000004</v>
      </c>
      <c r="AG124">
        <f t="shared" si="7"/>
        <v>2.5</v>
      </c>
      <c r="AH124">
        <f t="shared" si="9"/>
        <v>3.8092335822032607E-2</v>
      </c>
      <c r="AI124">
        <f t="shared" si="8"/>
        <v>26.251999999999999</v>
      </c>
    </row>
    <row r="125" spans="1:35" x14ac:dyDescent="0.3">
      <c r="A125">
        <v>64.8</v>
      </c>
      <c r="B125" t="s">
        <v>159</v>
      </c>
      <c r="C125" t="s">
        <v>27</v>
      </c>
      <c r="D125" t="s">
        <v>66</v>
      </c>
      <c r="E125" t="s">
        <v>67</v>
      </c>
      <c r="F125">
        <v>0.35</v>
      </c>
      <c r="G125">
        <v>0</v>
      </c>
      <c r="H125">
        <v>0</v>
      </c>
      <c r="I125">
        <v>6.6666669999999997E-2</v>
      </c>
      <c r="J125">
        <v>6.6666669999999997E-2</v>
      </c>
      <c r="K125">
        <v>25</v>
      </c>
      <c r="L125">
        <v>0</v>
      </c>
      <c r="M125">
        <v>0.8</v>
      </c>
      <c r="N125">
        <v>0.3</v>
      </c>
      <c r="O125">
        <v>0.33</v>
      </c>
      <c r="P125">
        <v>0</v>
      </c>
      <c r="Q125">
        <v>0.57399999999999995</v>
      </c>
      <c r="X125">
        <v>1</v>
      </c>
      <c r="Y125">
        <v>4.2</v>
      </c>
      <c r="Z125">
        <v>0.6</v>
      </c>
      <c r="AA125">
        <v>0.05</v>
      </c>
      <c r="AD125">
        <f t="shared" si="6"/>
        <v>0.45360000000000006</v>
      </c>
      <c r="AG125">
        <f t="shared" si="7"/>
        <v>2.5</v>
      </c>
      <c r="AH125">
        <f t="shared" si="9"/>
        <v>3.8580246913580252E-2</v>
      </c>
      <c r="AI125">
        <f t="shared" si="8"/>
        <v>25.919999999999998</v>
      </c>
    </row>
    <row r="126" spans="1:35" x14ac:dyDescent="0.3">
      <c r="A126">
        <v>65.16</v>
      </c>
      <c r="B126" t="s">
        <v>160</v>
      </c>
      <c r="C126" t="s">
        <v>27</v>
      </c>
      <c r="D126" t="s">
        <v>66</v>
      </c>
      <c r="E126" t="s">
        <v>67</v>
      </c>
      <c r="F126">
        <v>0.35</v>
      </c>
      <c r="G126">
        <v>0</v>
      </c>
      <c r="H126">
        <v>0</v>
      </c>
      <c r="I126">
        <v>6.6666669999999997E-2</v>
      </c>
      <c r="J126">
        <v>6.6666669999999997E-2</v>
      </c>
      <c r="K126">
        <v>25</v>
      </c>
      <c r="L126">
        <v>0</v>
      </c>
      <c r="M126">
        <v>0.8</v>
      </c>
      <c r="N126">
        <v>0.3</v>
      </c>
      <c r="O126">
        <v>0.33</v>
      </c>
      <c r="P126">
        <v>0</v>
      </c>
      <c r="Q126">
        <v>0.57399999999999995</v>
      </c>
      <c r="X126">
        <v>1</v>
      </c>
      <c r="Y126">
        <v>4.2</v>
      </c>
      <c r="Z126">
        <v>0.6</v>
      </c>
      <c r="AA126">
        <v>0.05</v>
      </c>
      <c r="AD126">
        <f t="shared" si="6"/>
        <v>0.45612000000000003</v>
      </c>
      <c r="AG126">
        <f t="shared" si="7"/>
        <v>2.5</v>
      </c>
      <c r="AH126">
        <f t="shared" si="9"/>
        <v>3.8367096378146101E-2</v>
      </c>
      <c r="AI126">
        <f t="shared" si="8"/>
        <v>26.064</v>
      </c>
    </row>
    <row r="127" spans="1:35" x14ac:dyDescent="0.3">
      <c r="A127">
        <v>64.989999999999995</v>
      </c>
      <c r="B127" t="s">
        <v>161</v>
      </c>
      <c r="C127" t="s">
        <v>27</v>
      </c>
      <c r="D127" t="s">
        <v>66</v>
      </c>
      <c r="E127" t="s">
        <v>67</v>
      </c>
      <c r="F127">
        <v>0.35</v>
      </c>
      <c r="G127">
        <v>0</v>
      </c>
      <c r="H127">
        <v>0</v>
      </c>
      <c r="I127">
        <v>6.6666669999999997E-2</v>
      </c>
      <c r="J127">
        <v>6.6666669999999997E-2</v>
      </c>
      <c r="K127">
        <v>25</v>
      </c>
      <c r="L127">
        <v>0</v>
      </c>
      <c r="M127">
        <v>0.8</v>
      </c>
      <c r="N127">
        <v>0.3</v>
      </c>
      <c r="O127">
        <v>0.33</v>
      </c>
      <c r="P127">
        <v>0</v>
      </c>
      <c r="Q127">
        <v>0.57399999999999995</v>
      </c>
      <c r="X127">
        <v>1</v>
      </c>
      <c r="Y127">
        <v>4.2</v>
      </c>
      <c r="Z127">
        <v>0.6</v>
      </c>
      <c r="AA127">
        <v>0.05</v>
      </c>
      <c r="AD127">
        <f t="shared" si="6"/>
        <v>0.45492999999999995</v>
      </c>
      <c r="AG127">
        <f t="shared" si="7"/>
        <v>2.5</v>
      </c>
      <c r="AH127">
        <f t="shared" si="9"/>
        <v>3.8467456531774122E-2</v>
      </c>
      <c r="AI127">
        <f t="shared" si="8"/>
        <v>25.995999999999999</v>
      </c>
    </row>
    <row r="128" spans="1:35" x14ac:dyDescent="0.3">
      <c r="A128">
        <v>65.11</v>
      </c>
      <c r="B128" t="s">
        <v>162</v>
      </c>
      <c r="C128" t="s">
        <v>27</v>
      </c>
      <c r="D128" t="s">
        <v>66</v>
      </c>
      <c r="E128" t="s">
        <v>67</v>
      </c>
      <c r="F128">
        <v>0.35</v>
      </c>
      <c r="G128">
        <v>0</v>
      </c>
      <c r="H128">
        <v>0</v>
      </c>
      <c r="I128">
        <v>6.6666669999999997E-2</v>
      </c>
      <c r="J128">
        <v>6.6666669999999997E-2</v>
      </c>
      <c r="K128">
        <v>25</v>
      </c>
      <c r="L128">
        <v>0</v>
      </c>
      <c r="M128">
        <v>0.8</v>
      </c>
      <c r="N128">
        <v>0.3</v>
      </c>
      <c r="O128">
        <v>0.33</v>
      </c>
      <c r="P128">
        <v>0</v>
      </c>
      <c r="Q128">
        <v>0.57399999999999995</v>
      </c>
      <c r="X128">
        <v>1</v>
      </c>
      <c r="Y128">
        <v>4.2</v>
      </c>
      <c r="Z128">
        <v>0.6</v>
      </c>
      <c r="AA128">
        <v>0.05</v>
      </c>
      <c r="AD128">
        <f t="shared" si="6"/>
        <v>0.45577000000000001</v>
      </c>
      <c r="AG128">
        <f t="shared" si="7"/>
        <v>2.5</v>
      </c>
      <c r="AH128">
        <f t="shared" si="9"/>
        <v>3.8396559668253727E-2</v>
      </c>
      <c r="AI128">
        <f t="shared" si="8"/>
        <v>26.043999999999997</v>
      </c>
    </row>
    <row r="129" spans="1:35" x14ac:dyDescent="0.3">
      <c r="A129">
        <v>64.900000000000006</v>
      </c>
      <c r="B129" t="s">
        <v>163</v>
      </c>
      <c r="C129" t="s">
        <v>27</v>
      </c>
      <c r="D129" t="s">
        <v>66</v>
      </c>
      <c r="E129" t="s">
        <v>67</v>
      </c>
      <c r="F129">
        <v>0.35</v>
      </c>
      <c r="G129">
        <v>0</v>
      </c>
      <c r="H129">
        <v>0</v>
      </c>
      <c r="I129">
        <v>6.6666669999999997E-2</v>
      </c>
      <c r="J129">
        <v>6.6666669999999997E-2</v>
      </c>
      <c r="K129">
        <v>25</v>
      </c>
      <c r="L129">
        <v>0</v>
      </c>
      <c r="M129">
        <v>0.8</v>
      </c>
      <c r="N129">
        <v>0.3</v>
      </c>
      <c r="O129">
        <v>0.33</v>
      </c>
      <c r="P129">
        <v>0</v>
      </c>
      <c r="Q129">
        <v>0.57399999999999995</v>
      </c>
      <c r="X129">
        <v>1</v>
      </c>
      <c r="Y129">
        <v>4.2</v>
      </c>
      <c r="Z129">
        <v>0.6</v>
      </c>
      <c r="AA129">
        <v>0.05</v>
      </c>
      <c r="AD129">
        <f t="shared" si="6"/>
        <v>0.45430000000000009</v>
      </c>
      <c r="AG129">
        <f t="shared" si="7"/>
        <v>2.5</v>
      </c>
      <c r="AH129">
        <f t="shared" si="9"/>
        <v>3.8520801232665637E-2</v>
      </c>
      <c r="AI129">
        <f t="shared" si="8"/>
        <v>25.96</v>
      </c>
    </row>
    <row r="130" spans="1:35" x14ac:dyDescent="0.3">
      <c r="A130">
        <v>132.19999999999999</v>
      </c>
      <c r="B130" t="s">
        <v>164</v>
      </c>
      <c r="C130" t="s">
        <v>27</v>
      </c>
      <c r="D130" t="s">
        <v>66</v>
      </c>
      <c r="E130" t="s">
        <v>67</v>
      </c>
      <c r="F130">
        <v>0.35</v>
      </c>
      <c r="G130">
        <v>0</v>
      </c>
      <c r="H130">
        <v>0</v>
      </c>
      <c r="I130">
        <v>6.6666669999999997E-2</v>
      </c>
      <c r="J130">
        <v>6.6666669999999997E-2</v>
      </c>
      <c r="K130">
        <v>25</v>
      </c>
      <c r="L130">
        <v>0</v>
      </c>
      <c r="M130">
        <v>0.8</v>
      </c>
      <c r="N130">
        <v>0.3</v>
      </c>
      <c r="O130">
        <v>0.33</v>
      </c>
      <c r="P130">
        <v>0</v>
      </c>
      <c r="Q130">
        <v>0.57399999999999995</v>
      </c>
      <c r="X130">
        <v>1</v>
      </c>
      <c r="Y130">
        <v>4.2</v>
      </c>
      <c r="Z130">
        <v>0.6</v>
      </c>
      <c r="AA130">
        <v>0.05</v>
      </c>
      <c r="AD130">
        <f t="shared" si="6"/>
        <v>0.9254</v>
      </c>
      <c r="AG130">
        <f t="shared" si="7"/>
        <v>2.5</v>
      </c>
      <c r="AH130">
        <f t="shared" ref="AH130:AH135" si="10">AG130/A130</f>
        <v>1.8910741301059002E-2</v>
      </c>
      <c r="AI130">
        <f t="shared" si="8"/>
        <v>52.879999999999995</v>
      </c>
    </row>
    <row r="131" spans="1:35" x14ac:dyDescent="0.3">
      <c r="A131">
        <v>132.33000000000001</v>
      </c>
      <c r="B131" t="s">
        <v>165</v>
      </c>
      <c r="C131" t="s">
        <v>27</v>
      </c>
      <c r="D131" t="s">
        <v>66</v>
      </c>
      <c r="E131" t="s">
        <v>67</v>
      </c>
      <c r="F131">
        <v>0.35</v>
      </c>
      <c r="G131">
        <v>0</v>
      </c>
      <c r="H131">
        <v>0</v>
      </c>
      <c r="I131">
        <v>6.6666669999999997E-2</v>
      </c>
      <c r="J131">
        <v>6.6666669999999997E-2</v>
      </c>
      <c r="K131">
        <v>25</v>
      </c>
      <c r="L131">
        <v>0</v>
      </c>
      <c r="M131">
        <v>0.8</v>
      </c>
      <c r="N131">
        <v>0.3</v>
      </c>
      <c r="O131">
        <v>0.33</v>
      </c>
      <c r="P131">
        <v>0</v>
      </c>
      <c r="Q131">
        <v>0.57399999999999995</v>
      </c>
      <c r="X131">
        <v>1</v>
      </c>
      <c r="Y131">
        <v>4.2</v>
      </c>
      <c r="Z131">
        <v>0.6</v>
      </c>
      <c r="AA131">
        <v>0.05</v>
      </c>
      <c r="AD131">
        <f t="shared" ref="AD131:AD135" si="11">A131*Y131/(1000*Z131)</f>
        <v>0.92631000000000008</v>
      </c>
      <c r="AG131">
        <f t="shared" ref="AG131:AG135" si="12">50*5/100</f>
        <v>2.5</v>
      </c>
      <c r="AH131">
        <f t="shared" si="10"/>
        <v>1.889216353056752E-2</v>
      </c>
      <c r="AI131">
        <f t="shared" ref="AI131:AI135" si="13">1/AH131</f>
        <v>52.932000000000002</v>
      </c>
    </row>
    <row r="132" spans="1:35" x14ac:dyDescent="0.3">
      <c r="A132">
        <v>132.24</v>
      </c>
      <c r="B132" t="s">
        <v>166</v>
      </c>
      <c r="C132" t="s">
        <v>27</v>
      </c>
      <c r="D132" t="s">
        <v>66</v>
      </c>
      <c r="E132" t="s">
        <v>67</v>
      </c>
      <c r="F132">
        <v>0.35</v>
      </c>
      <c r="G132">
        <v>0</v>
      </c>
      <c r="H132">
        <v>0</v>
      </c>
      <c r="I132">
        <v>6.6666669999999997E-2</v>
      </c>
      <c r="J132">
        <v>6.6666669999999997E-2</v>
      </c>
      <c r="K132">
        <v>25</v>
      </c>
      <c r="L132">
        <v>0</v>
      </c>
      <c r="M132">
        <v>0.8</v>
      </c>
      <c r="N132">
        <v>0.3</v>
      </c>
      <c r="O132">
        <v>0.33</v>
      </c>
      <c r="P132">
        <v>0</v>
      </c>
      <c r="Q132">
        <v>0.57399999999999995</v>
      </c>
      <c r="X132">
        <v>1</v>
      </c>
      <c r="Y132">
        <v>4.2</v>
      </c>
      <c r="Z132">
        <v>0.6</v>
      </c>
      <c r="AA132">
        <v>0.05</v>
      </c>
      <c r="AD132">
        <f t="shared" si="11"/>
        <v>0.92568000000000006</v>
      </c>
      <c r="AG132">
        <f t="shared" si="12"/>
        <v>2.5</v>
      </c>
      <c r="AH132">
        <f t="shared" si="10"/>
        <v>1.8905021173623714E-2</v>
      </c>
      <c r="AI132">
        <f t="shared" si="13"/>
        <v>52.896000000000001</v>
      </c>
    </row>
    <row r="133" spans="1:35" x14ac:dyDescent="0.3">
      <c r="A133">
        <v>5</v>
      </c>
      <c r="B133" t="s">
        <v>167</v>
      </c>
      <c r="C133" t="s">
        <v>65</v>
      </c>
      <c r="D133" t="s">
        <v>66</v>
      </c>
      <c r="E133" t="s">
        <v>77</v>
      </c>
      <c r="F133">
        <v>0.31</v>
      </c>
      <c r="G133">
        <v>0</v>
      </c>
      <c r="H133">
        <v>0</v>
      </c>
      <c r="I133">
        <v>6.6666669999999997E-2</v>
      </c>
      <c r="J133">
        <v>6.6666669999999997E-2</v>
      </c>
      <c r="K133">
        <v>25</v>
      </c>
      <c r="L133">
        <v>0</v>
      </c>
      <c r="M133">
        <v>0.8</v>
      </c>
      <c r="N133">
        <v>0.3</v>
      </c>
      <c r="O133">
        <v>0.33</v>
      </c>
      <c r="P133">
        <v>0</v>
      </c>
      <c r="Q133">
        <v>0</v>
      </c>
      <c r="X133">
        <v>1</v>
      </c>
      <c r="Y133">
        <v>3.3</v>
      </c>
      <c r="Z133">
        <v>0.7</v>
      </c>
      <c r="AA133">
        <v>0.05</v>
      </c>
      <c r="AD133">
        <f t="shared" si="11"/>
        <v>2.3571428571428573E-2</v>
      </c>
      <c r="AG133">
        <f t="shared" si="12"/>
        <v>2.5</v>
      </c>
      <c r="AH133">
        <f t="shared" si="10"/>
        <v>0.5</v>
      </c>
      <c r="AI133">
        <f t="shared" si="13"/>
        <v>2</v>
      </c>
    </row>
    <row r="134" spans="1:35" x14ac:dyDescent="0.3">
      <c r="A134">
        <v>198.35</v>
      </c>
      <c r="B134" t="s">
        <v>168</v>
      </c>
      <c r="C134" t="s">
        <v>65</v>
      </c>
      <c r="D134" t="s">
        <v>66</v>
      </c>
      <c r="E134" t="s">
        <v>67</v>
      </c>
      <c r="F134">
        <v>0.35</v>
      </c>
      <c r="G134">
        <v>0</v>
      </c>
      <c r="H134">
        <v>0</v>
      </c>
      <c r="I134">
        <v>6.6666669999999997E-2</v>
      </c>
      <c r="J134">
        <v>6.6666669999999997E-2</v>
      </c>
      <c r="K134">
        <v>25</v>
      </c>
      <c r="L134">
        <v>0</v>
      </c>
      <c r="M134">
        <v>0.8</v>
      </c>
      <c r="N134">
        <v>0.3</v>
      </c>
      <c r="O134">
        <v>0.33</v>
      </c>
      <c r="P134">
        <v>0</v>
      </c>
      <c r="Q134">
        <v>0.57399999999999995</v>
      </c>
      <c r="X134">
        <v>1</v>
      </c>
      <c r="Y134">
        <v>4.2</v>
      </c>
      <c r="Z134">
        <v>0.6</v>
      </c>
      <c r="AA134">
        <v>0.05</v>
      </c>
      <c r="AD134">
        <f t="shared" si="11"/>
        <v>1.3884500000000002</v>
      </c>
      <c r="AG134">
        <f t="shared" si="12"/>
        <v>2.5</v>
      </c>
      <c r="AH134">
        <f t="shared" si="10"/>
        <v>1.2603982858583314E-2</v>
      </c>
      <c r="AI134">
        <f t="shared" si="13"/>
        <v>79.339999999999989</v>
      </c>
    </row>
    <row r="135" spans="1:35" x14ac:dyDescent="0.3">
      <c r="A135">
        <v>11.9</v>
      </c>
      <c r="B135" t="s">
        <v>169</v>
      </c>
      <c r="C135" t="s">
        <v>65</v>
      </c>
      <c r="D135" t="s">
        <v>66</v>
      </c>
      <c r="E135" t="s">
        <v>77</v>
      </c>
      <c r="F135">
        <v>0.31</v>
      </c>
      <c r="G135">
        <v>0</v>
      </c>
      <c r="H135">
        <v>0</v>
      </c>
      <c r="I135">
        <v>6.6666669999999997E-2</v>
      </c>
      <c r="J135">
        <v>6.6666669999999997E-2</v>
      </c>
      <c r="K135">
        <v>25</v>
      </c>
      <c r="L135">
        <v>0</v>
      </c>
      <c r="M135">
        <v>0.8</v>
      </c>
      <c r="N135">
        <v>0.3</v>
      </c>
      <c r="O135">
        <v>0.33</v>
      </c>
      <c r="P135">
        <v>0</v>
      </c>
      <c r="Q135">
        <v>0</v>
      </c>
      <c r="X135">
        <v>1</v>
      </c>
      <c r="Y135">
        <v>3.3</v>
      </c>
      <c r="Z135">
        <v>0.7</v>
      </c>
      <c r="AA135">
        <v>0.05</v>
      </c>
      <c r="AD135">
        <f t="shared" si="11"/>
        <v>5.6099999999999997E-2</v>
      </c>
      <c r="AG135">
        <f t="shared" si="12"/>
        <v>2.5</v>
      </c>
      <c r="AH135">
        <f t="shared" si="10"/>
        <v>0.21008403361344538</v>
      </c>
      <c r="AI135">
        <f t="shared" si="13"/>
        <v>4.76</v>
      </c>
    </row>
    <row r="136" spans="1:35" x14ac:dyDescent="0.3">
      <c r="A136">
        <v>3</v>
      </c>
      <c r="B136" t="s">
        <v>170</v>
      </c>
      <c r="C136" t="s">
        <v>27</v>
      </c>
      <c r="D136" t="s">
        <v>171</v>
      </c>
      <c r="E136" t="s">
        <v>172</v>
      </c>
      <c r="F136">
        <v>1</v>
      </c>
      <c r="G136">
        <v>0</v>
      </c>
      <c r="H136">
        <v>0</v>
      </c>
      <c r="I136">
        <v>0.02</v>
      </c>
      <c r="J136">
        <v>0.02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X136">
        <v>1</v>
      </c>
      <c r="Y136">
        <v>0</v>
      </c>
      <c r="Z136">
        <v>0</v>
      </c>
      <c r="AA136">
        <v>0</v>
      </c>
    </row>
    <row r="137" spans="1:35" x14ac:dyDescent="0.3">
      <c r="A137">
        <v>24</v>
      </c>
      <c r="B137" t="s">
        <v>173</v>
      </c>
      <c r="C137" t="s">
        <v>27</v>
      </c>
      <c r="D137" t="s">
        <v>171</v>
      </c>
      <c r="E137" t="s">
        <v>172</v>
      </c>
      <c r="F137">
        <v>1</v>
      </c>
      <c r="G137">
        <v>0</v>
      </c>
      <c r="H137">
        <v>0</v>
      </c>
      <c r="I137">
        <v>0.02</v>
      </c>
      <c r="J137">
        <v>0.02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X137">
        <v>1</v>
      </c>
      <c r="Y137">
        <v>0</v>
      </c>
      <c r="Z137">
        <v>0</v>
      </c>
      <c r="AA137">
        <v>0</v>
      </c>
    </row>
    <row r="138" spans="1:35" x14ac:dyDescent="0.3">
      <c r="A138">
        <v>50.01</v>
      </c>
      <c r="B138" t="s">
        <v>174</v>
      </c>
      <c r="C138" t="s">
        <v>27</v>
      </c>
      <c r="D138" t="s">
        <v>175</v>
      </c>
      <c r="E138" t="s">
        <v>176</v>
      </c>
      <c r="F138">
        <v>1</v>
      </c>
      <c r="G138">
        <v>0</v>
      </c>
      <c r="H138">
        <v>0</v>
      </c>
      <c r="I138">
        <v>0.02</v>
      </c>
      <c r="J138">
        <v>0.02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X138">
        <v>1</v>
      </c>
      <c r="Y138">
        <v>0</v>
      </c>
      <c r="Z138">
        <v>0</v>
      </c>
      <c r="AA138">
        <v>0</v>
      </c>
    </row>
    <row r="139" spans="1:35" x14ac:dyDescent="0.3">
      <c r="A139">
        <v>60.06</v>
      </c>
      <c r="B139" t="s">
        <v>177</v>
      </c>
      <c r="C139" t="s">
        <v>51</v>
      </c>
      <c r="D139" t="s">
        <v>175</v>
      </c>
      <c r="E139" t="s">
        <v>176</v>
      </c>
      <c r="F139">
        <v>1</v>
      </c>
      <c r="G139">
        <v>0</v>
      </c>
      <c r="H139">
        <v>0</v>
      </c>
      <c r="I139">
        <v>0.02</v>
      </c>
      <c r="J139">
        <v>0.02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X139">
        <v>1</v>
      </c>
      <c r="Y139">
        <v>0</v>
      </c>
      <c r="Z139">
        <v>0</v>
      </c>
      <c r="AA139">
        <v>0</v>
      </c>
    </row>
    <row r="140" spans="1:35" x14ac:dyDescent="0.3">
      <c r="A140">
        <v>5</v>
      </c>
      <c r="B140" t="s">
        <v>178</v>
      </c>
      <c r="C140" t="s">
        <v>51</v>
      </c>
      <c r="D140" t="s">
        <v>175</v>
      </c>
      <c r="E140" t="s">
        <v>176</v>
      </c>
      <c r="F140">
        <v>1</v>
      </c>
      <c r="G140">
        <v>0</v>
      </c>
      <c r="H140">
        <v>0</v>
      </c>
      <c r="I140">
        <v>0.02</v>
      </c>
      <c r="J140">
        <v>0.02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X140">
        <v>1</v>
      </c>
      <c r="Y140">
        <v>0</v>
      </c>
      <c r="Z140">
        <v>0</v>
      </c>
      <c r="AA140">
        <v>0</v>
      </c>
    </row>
    <row r="141" spans="1:35" x14ac:dyDescent="0.3">
      <c r="A141">
        <v>14.4</v>
      </c>
      <c r="B141" t="s">
        <v>179</v>
      </c>
      <c r="C141" t="s">
        <v>65</v>
      </c>
      <c r="D141" t="s">
        <v>171</v>
      </c>
      <c r="E141" t="s">
        <v>172</v>
      </c>
      <c r="F141">
        <v>1</v>
      </c>
      <c r="G141">
        <v>0</v>
      </c>
      <c r="H141">
        <v>0</v>
      </c>
      <c r="I141">
        <v>0.02</v>
      </c>
      <c r="J141">
        <v>0.02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X141">
        <v>1</v>
      </c>
      <c r="Y141">
        <v>0</v>
      </c>
      <c r="Z141">
        <v>0</v>
      </c>
      <c r="AA141">
        <v>0</v>
      </c>
    </row>
    <row r="142" spans="1:35" x14ac:dyDescent="0.3">
      <c r="A142">
        <v>39.6</v>
      </c>
      <c r="B142" t="s">
        <v>180</v>
      </c>
      <c r="C142" t="s">
        <v>65</v>
      </c>
      <c r="D142" t="s">
        <v>171</v>
      </c>
      <c r="E142" t="s">
        <v>172</v>
      </c>
      <c r="F142">
        <v>1</v>
      </c>
      <c r="G142">
        <v>0</v>
      </c>
      <c r="H142">
        <v>0</v>
      </c>
      <c r="I142">
        <v>0.02</v>
      </c>
      <c r="J142">
        <v>0.02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X142">
        <v>1</v>
      </c>
      <c r="Y142">
        <v>0</v>
      </c>
      <c r="Z142">
        <v>0</v>
      </c>
      <c r="AA142">
        <v>0</v>
      </c>
    </row>
    <row r="143" spans="1:35" x14ac:dyDescent="0.3">
      <c r="A143">
        <v>50.4</v>
      </c>
      <c r="B143" t="s">
        <v>181</v>
      </c>
      <c r="C143" t="s">
        <v>65</v>
      </c>
      <c r="D143" t="s">
        <v>171</v>
      </c>
      <c r="E143" t="s">
        <v>172</v>
      </c>
      <c r="F143">
        <v>1</v>
      </c>
      <c r="G143">
        <v>0</v>
      </c>
      <c r="H143">
        <v>0</v>
      </c>
      <c r="I143">
        <v>0.02</v>
      </c>
      <c r="J143">
        <v>0.02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X143">
        <v>1</v>
      </c>
      <c r="Y143">
        <v>0</v>
      </c>
      <c r="Z143">
        <v>0</v>
      </c>
      <c r="AA143">
        <v>0</v>
      </c>
    </row>
    <row r="144" spans="1:35" x14ac:dyDescent="0.3">
      <c r="A144">
        <v>20.56</v>
      </c>
      <c r="B144" t="s">
        <v>182</v>
      </c>
      <c r="C144" t="s">
        <v>65</v>
      </c>
      <c r="D144" t="s">
        <v>171</v>
      </c>
      <c r="E144" t="s">
        <v>172</v>
      </c>
      <c r="F144">
        <v>1</v>
      </c>
      <c r="G144">
        <v>0</v>
      </c>
      <c r="H144">
        <v>0</v>
      </c>
      <c r="I144">
        <v>0.02</v>
      </c>
      <c r="J144">
        <v>0.02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X144">
        <v>1</v>
      </c>
      <c r="Y144">
        <v>0</v>
      </c>
      <c r="Z144">
        <v>0</v>
      </c>
      <c r="AA144">
        <v>0</v>
      </c>
    </row>
    <row r="145" spans="1:27" x14ac:dyDescent="0.3">
      <c r="A145">
        <v>23.59</v>
      </c>
      <c r="B145" t="s">
        <v>183</v>
      </c>
      <c r="C145" t="s">
        <v>51</v>
      </c>
      <c r="D145" t="s">
        <v>171</v>
      </c>
      <c r="E145" t="s">
        <v>172</v>
      </c>
      <c r="F145">
        <v>1</v>
      </c>
      <c r="G145">
        <v>0</v>
      </c>
      <c r="H145">
        <v>0</v>
      </c>
      <c r="I145">
        <v>0.02</v>
      </c>
      <c r="J145">
        <v>0.02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X145">
        <v>1</v>
      </c>
      <c r="Y145">
        <v>0</v>
      </c>
      <c r="Z145">
        <v>0</v>
      </c>
      <c r="AA145">
        <v>0</v>
      </c>
    </row>
    <row r="146" spans="1:27" x14ac:dyDescent="0.3">
      <c r="A146">
        <v>50.01</v>
      </c>
      <c r="B146" t="s">
        <v>184</v>
      </c>
      <c r="C146" t="s">
        <v>27</v>
      </c>
      <c r="D146" t="s">
        <v>175</v>
      </c>
      <c r="E146" t="s">
        <v>176</v>
      </c>
      <c r="F146">
        <v>1</v>
      </c>
      <c r="G146">
        <v>0</v>
      </c>
      <c r="H146">
        <v>0</v>
      </c>
      <c r="I146">
        <v>0.02</v>
      </c>
      <c r="J146">
        <v>0.02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X146">
        <v>1</v>
      </c>
      <c r="Y146">
        <v>0</v>
      </c>
      <c r="Z146">
        <v>0</v>
      </c>
      <c r="AA146">
        <v>0</v>
      </c>
    </row>
    <row r="147" spans="1:27" x14ac:dyDescent="0.3">
      <c r="A147">
        <v>81</v>
      </c>
      <c r="B147" t="s">
        <v>185</v>
      </c>
      <c r="C147" t="s">
        <v>37</v>
      </c>
      <c r="D147" t="s">
        <v>175</v>
      </c>
      <c r="E147" t="s">
        <v>176</v>
      </c>
      <c r="F147">
        <v>1</v>
      </c>
      <c r="G147">
        <v>0</v>
      </c>
      <c r="H147">
        <v>0</v>
      </c>
      <c r="I147">
        <v>0.02</v>
      </c>
      <c r="J147">
        <v>0.02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X147">
        <v>1</v>
      </c>
      <c r="Y147">
        <v>0</v>
      </c>
      <c r="Z147">
        <v>0</v>
      </c>
      <c r="AA147">
        <v>0</v>
      </c>
    </row>
    <row r="148" spans="1:27" x14ac:dyDescent="0.3">
      <c r="A148">
        <v>40</v>
      </c>
      <c r="B148" t="s">
        <v>186</v>
      </c>
      <c r="C148" t="s">
        <v>37</v>
      </c>
      <c r="D148" t="s">
        <v>175</v>
      </c>
      <c r="E148" t="s">
        <v>176</v>
      </c>
      <c r="F148">
        <v>1</v>
      </c>
      <c r="G148">
        <v>0</v>
      </c>
      <c r="H148">
        <v>0</v>
      </c>
      <c r="I148">
        <v>0.02</v>
      </c>
      <c r="J148">
        <v>0.02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X148">
        <v>1</v>
      </c>
      <c r="Y148">
        <v>0</v>
      </c>
      <c r="Z148">
        <v>0</v>
      </c>
      <c r="AA148">
        <v>0</v>
      </c>
    </row>
    <row r="149" spans="1:27" x14ac:dyDescent="0.3">
      <c r="A149">
        <v>63</v>
      </c>
      <c r="B149" t="s">
        <v>187</v>
      </c>
      <c r="C149" t="s">
        <v>27</v>
      </c>
      <c r="D149" t="s">
        <v>175</v>
      </c>
      <c r="E149" t="s">
        <v>176</v>
      </c>
      <c r="F149">
        <v>1</v>
      </c>
      <c r="G149">
        <v>0</v>
      </c>
      <c r="H149">
        <v>0</v>
      </c>
      <c r="I149">
        <v>0.02</v>
      </c>
      <c r="J149">
        <v>0.02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X149">
        <v>1</v>
      </c>
      <c r="Y149">
        <v>0</v>
      </c>
      <c r="Z149">
        <v>0</v>
      </c>
      <c r="AA149">
        <v>0</v>
      </c>
    </row>
    <row r="150" spans="1:27" x14ac:dyDescent="0.3">
      <c r="A150">
        <v>63</v>
      </c>
      <c r="B150" t="s">
        <v>188</v>
      </c>
      <c r="C150" t="s">
        <v>27</v>
      </c>
      <c r="D150" t="s">
        <v>175</v>
      </c>
      <c r="E150" t="s">
        <v>176</v>
      </c>
      <c r="F150">
        <v>1</v>
      </c>
      <c r="G150">
        <v>0</v>
      </c>
      <c r="H150">
        <v>0</v>
      </c>
      <c r="I150">
        <v>0.02</v>
      </c>
      <c r="J150">
        <v>0.02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X150">
        <v>1</v>
      </c>
      <c r="Y150">
        <v>0</v>
      </c>
      <c r="Z150">
        <v>0</v>
      </c>
      <c r="AA150">
        <v>0</v>
      </c>
    </row>
    <row r="151" spans="1:27" x14ac:dyDescent="0.3">
      <c r="A151">
        <v>63</v>
      </c>
      <c r="B151" t="s">
        <v>189</v>
      </c>
      <c r="C151" t="s">
        <v>27</v>
      </c>
      <c r="D151" t="s">
        <v>175</v>
      </c>
      <c r="E151" t="s">
        <v>176</v>
      </c>
      <c r="F151">
        <v>1</v>
      </c>
      <c r="G151">
        <v>0</v>
      </c>
      <c r="H151">
        <v>0</v>
      </c>
      <c r="I151">
        <v>0.02</v>
      </c>
      <c r="J151">
        <v>0.02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X151">
        <v>1</v>
      </c>
      <c r="Y151">
        <v>0</v>
      </c>
      <c r="Z151">
        <v>0</v>
      </c>
      <c r="AA151">
        <v>0</v>
      </c>
    </row>
    <row r="152" spans="1:27" x14ac:dyDescent="0.3">
      <c r="A152">
        <v>54</v>
      </c>
      <c r="B152" t="s">
        <v>190</v>
      </c>
      <c r="C152" t="s">
        <v>65</v>
      </c>
      <c r="D152" t="s">
        <v>171</v>
      </c>
      <c r="E152" t="s">
        <v>172</v>
      </c>
      <c r="F152">
        <v>1</v>
      </c>
      <c r="G152">
        <v>0</v>
      </c>
      <c r="H152">
        <v>0</v>
      </c>
      <c r="I152">
        <v>0.02</v>
      </c>
      <c r="J152">
        <v>0.02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X152">
        <v>1</v>
      </c>
      <c r="Y152">
        <v>0</v>
      </c>
      <c r="Z152">
        <v>0</v>
      </c>
      <c r="AA152">
        <v>0</v>
      </c>
    </row>
    <row r="153" spans="1:27" x14ac:dyDescent="0.3">
      <c r="A153">
        <v>54</v>
      </c>
      <c r="B153" t="s">
        <v>191</v>
      </c>
      <c r="C153" t="s">
        <v>65</v>
      </c>
      <c r="D153" t="s">
        <v>171</v>
      </c>
      <c r="E153" t="s">
        <v>172</v>
      </c>
      <c r="F153">
        <v>1</v>
      </c>
      <c r="G153">
        <v>0</v>
      </c>
      <c r="H153">
        <v>0</v>
      </c>
      <c r="I153">
        <v>0.02</v>
      </c>
      <c r="J153">
        <v>0.02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X153">
        <v>1</v>
      </c>
      <c r="Y153">
        <v>0</v>
      </c>
      <c r="Z153">
        <v>0</v>
      </c>
      <c r="AA153">
        <v>0</v>
      </c>
    </row>
    <row r="154" spans="1:27" x14ac:dyDescent="0.3">
      <c r="A154">
        <v>54</v>
      </c>
      <c r="B154" t="s">
        <v>192</v>
      </c>
      <c r="C154" t="s">
        <v>65</v>
      </c>
      <c r="D154" t="s">
        <v>171</v>
      </c>
      <c r="E154" t="s">
        <v>172</v>
      </c>
      <c r="F154">
        <v>1</v>
      </c>
      <c r="G154">
        <v>0</v>
      </c>
      <c r="H154">
        <v>0</v>
      </c>
      <c r="I154">
        <v>0.02</v>
      </c>
      <c r="J154">
        <v>0.02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X154">
        <v>1</v>
      </c>
      <c r="Y154">
        <v>0</v>
      </c>
      <c r="Z154">
        <v>0</v>
      </c>
      <c r="AA154">
        <v>0</v>
      </c>
    </row>
    <row r="155" spans="1:27" x14ac:dyDescent="0.3">
      <c r="A155">
        <v>54</v>
      </c>
      <c r="B155" t="s">
        <v>193</v>
      </c>
      <c r="C155" t="s">
        <v>65</v>
      </c>
      <c r="D155" t="s">
        <v>171</v>
      </c>
      <c r="E155" t="s">
        <v>172</v>
      </c>
      <c r="F155">
        <v>1</v>
      </c>
      <c r="G155">
        <v>0</v>
      </c>
      <c r="H155">
        <v>0</v>
      </c>
      <c r="I155">
        <v>0.02</v>
      </c>
      <c r="J155">
        <v>0.02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X155">
        <v>1</v>
      </c>
      <c r="Y155">
        <v>0</v>
      </c>
      <c r="Z155">
        <v>0</v>
      </c>
      <c r="AA155">
        <v>0</v>
      </c>
    </row>
  </sheetData>
  <autoFilter ref="A1:AA155" xr:uid="{29ABE7B7-CD77-47CB-86E8-C41ABAEE04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PowerPlantData_2030_0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2024-07-11T12:52:56Z</dcterms:created>
  <dcterms:modified xsi:type="dcterms:W3CDTF">2025-09-01T12:41:31Z</dcterms:modified>
</cp:coreProperties>
</file>