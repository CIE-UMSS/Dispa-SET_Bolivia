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ia\Documents\DISPASET MODELS\10.1TESMEP\"/>
    </mc:Choice>
  </mc:AlternateContent>
  <xr:revisionPtr revIDLastSave="0" documentId="13_ncr:1_{31DC0DD4-859C-419F-84FE-BC5B4FE99D87}" xr6:coauthVersionLast="47" xr6:coauthVersionMax="47" xr10:uidLastSave="{00000000-0000-0000-0000-000000000000}"/>
  <bookViews>
    <workbookView xWindow="-108" yWindow="-108" windowWidth="23256" windowHeight="12576" xr2:uid="{41A8F1CC-E8D1-47A5-A5E8-7B0DD7EE3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1" l="1"/>
  <c r="K29" i="1"/>
  <c r="K25" i="1"/>
  <c r="K23" i="1"/>
  <c r="K19" i="1"/>
  <c r="K13" i="1"/>
  <c r="K9" i="1"/>
  <c r="E31" i="1"/>
  <c r="E29" i="1"/>
  <c r="E25" i="1"/>
  <c r="E23" i="1"/>
  <c r="E19" i="1"/>
  <c r="E13" i="1"/>
  <c r="E9" i="1"/>
  <c r="I37" i="1"/>
  <c r="K4" i="1" s="1"/>
  <c r="C37" i="1"/>
  <c r="C39" i="1" s="1"/>
  <c r="I32" i="1"/>
  <c r="C30" i="1"/>
  <c r="C32" i="1" s="1"/>
  <c r="K16" i="1" l="1"/>
  <c r="E8" i="1"/>
  <c r="K11" i="1"/>
  <c r="K15" i="1"/>
  <c r="K14" i="1"/>
  <c r="E12" i="1"/>
  <c r="K12" i="1"/>
  <c r="K10" i="1"/>
  <c r="K22" i="1"/>
  <c r="K21" i="1"/>
  <c r="E11" i="1"/>
  <c r="E3" i="1"/>
  <c r="E28" i="1"/>
  <c r="E5" i="1"/>
  <c r="E22" i="1"/>
  <c r="K3" i="1"/>
  <c r="E21" i="1"/>
  <c r="K30" i="1"/>
  <c r="K8" i="1"/>
  <c r="E10" i="1"/>
  <c r="E7" i="1"/>
  <c r="E26" i="1"/>
  <c r="K28" i="1"/>
  <c r="E18" i="1"/>
  <c r="K27" i="1"/>
  <c r="K6" i="1"/>
  <c r="K18" i="1"/>
  <c r="E30" i="1"/>
  <c r="E6" i="1"/>
  <c r="E4" i="1"/>
  <c r="K7" i="1"/>
  <c r="E17" i="1"/>
  <c r="K26" i="1"/>
  <c r="K5" i="1"/>
  <c r="E15" i="1"/>
  <c r="E14" i="1"/>
  <c r="K20" i="1"/>
  <c r="K17" i="1"/>
  <c r="E27" i="1"/>
  <c r="E24" i="1"/>
  <c r="E20" i="1"/>
  <c r="E16" i="1"/>
  <c r="K24" i="1"/>
</calcChain>
</file>

<file path=xl/sharedStrings.xml><?xml version="1.0" encoding="utf-8"?>
<sst xmlns="http://schemas.openxmlformats.org/spreadsheetml/2006/main" count="76" uniqueCount="32">
  <si>
    <t>NZE scenario</t>
  </si>
  <si>
    <t>Residential &amp; Commercial</t>
  </si>
  <si>
    <t>Lighting</t>
  </si>
  <si>
    <t>Public lighting</t>
  </si>
  <si>
    <t>Large industries</t>
  </si>
  <si>
    <t>High-temperature heat</t>
  </si>
  <si>
    <t>Low-temperature heat</t>
  </si>
  <si>
    <t>Space cooling</t>
  </si>
  <si>
    <t>Refrigeration</t>
  </si>
  <si>
    <t>Cooking</t>
  </si>
  <si>
    <t>Transport</t>
  </si>
  <si>
    <t>Public passenger</t>
  </si>
  <si>
    <t>Private passenger</t>
  </si>
  <si>
    <t>Rail freight</t>
  </si>
  <si>
    <t>Boat freight</t>
  </si>
  <si>
    <t>Road freight</t>
  </si>
  <si>
    <t>Commercial</t>
  </si>
  <si>
    <t>Mechanical energy</t>
  </si>
  <si>
    <t>Agriculture</t>
  </si>
  <si>
    <t>Driving force</t>
  </si>
  <si>
    <t>Mining</t>
  </si>
  <si>
    <t>Construction &amp; others</t>
  </si>
  <si>
    <t>Non-energy</t>
  </si>
  <si>
    <t>E-fuel production</t>
  </si>
  <si>
    <t>Small and micro enterprises</t>
  </si>
  <si>
    <t>Equipment</t>
  </si>
  <si>
    <t>Losses</t>
  </si>
  <si>
    <t>Sector</t>
  </si>
  <si>
    <t>Demand (GWh)</t>
  </si>
  <si>
    <t>Usage</t>
  </si>
  <si>
    <t>Transmission+Distribution+Storage+other losses</t>
  </si>
  <si>
    <t>EPI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</si>
</sst>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2" fontId="1" fillId="0" borderId="1" xfId="0" applyNumberFormat="1" applyFont="1" applyBorder="1"/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78E1-C001-4A74-8588-C086CC8F2C19}">
  <dimension ref="A1:K39"/>
  <sheetViews>
    <sheetView tabSelected="1" workbookViewId="0">
      <selection activeCell="K31" sqref="K31"/>
    </sheetView>
  </sheetViews>
  <sheetFormatPr baseColWidth="10" defaultColWidth="8.88671875" defaultRowHeight="14.4" x14ac:dyDescent="0.3"/>
  <cols>
    <col min="1" max="1" width="40.109375" bestFit="1" customWidth="1"/>
    <col min="2" max="2" width="18.77734375" bestFit="1" customWidth="1"/>
    <col min="3" max="3" width="14" bestFit="1" customWidth="1"/>
    <col min="7" max="7" width="40.109375" bestFit="1" customWidth="1"/>
    <col min="8" max="8" width="20.109375" bestFit="1" customWidth="1"/>
    <col min="9" max="9" width="14" bestFit="1" customWidth="1"/>
  </cols>
  <sheetData>
    <row r="1" spans="1:11" x14ac:dyDescent="0.3">
      <c r="A1" s="7" t="s">
        <v>0</v>
      </c>
      <c r="B1" s="7"/>
      <c r="C1" s="7"/>
      <c r="G1" s="7" t="s">
        <v>31</v>
      </c>
      <c r="H1" s="7"/>
      <c r="I1" s="7"/>
    </row>
    <row r="2" spans="1:11" x14ac:dyDescent="0.3">
      <c r="A2" s="3" t="s">
        <v>27</v>
      </c>
      <c r="B2" s="3" t="s">
        <v>29</v>
      </c>
      <c r="C2" s="3" t="s">
        <v>28</v>
      </c>
      <c r="G2" s="3" t="s">
        <v>27</v>
      </c>
      <c r="H2" s="3" t="s">
        <v>29</v>
      </c>
      <c r="I2" s="3" t="s">
        <v>28</v>
      </c>
    </row>
    <row r="3" spans="1:11" x14ac:dyDescent="0.3">
      <c r="A3" s="9" t="s">
        <v>1</v>
      </c>
      <c r="B3" s="1" t="s">
        <v>2</v>
      </c>
      <c r="C3" s="1">
        <v>796.5341956451864</v>
      </c>
      <c r="E3">
        <f>C3*$C$37</f>
        <v>767.46732679001639</v>
      </c>
      <c r="G3" s="8" t="s">
        <v>1</v>
      </c>
      <c r="H3" s="1" t="s">
        <v>2</v>
      </c>
      <c r="I3" s="1">
        <v>811.10303001956754</v>
      </c>
      <c r="K3">
        <f>I3*$I$37</f>
        <v>802.15269468934946</v>
      </c>
    </row>
    <row r="4" spans="1:11" x14ac:dyDescent="0.3">
      <c r="A4" s="10"/>
      <c r="B4" s="1" t="s">
        <v>6</v>
      </c>
      <c r="C4" s="1">
        <v>1405.4803741968253</v>
      </c>
      <c r="E4">
        <f t="shared" ref="E4:E30" si="0">C4*$C$37</f>
        <v>1354.1920378785032</v>
      </c>
      <c r="G4" s="8"/>
      <c r="H4" s="1" t="s">
        <v>6</v>
      </c>
      <c r="I4" s="1">
        <v>1594.8066239022974</v>
      </c>
      <c r="K4">
        <f t="shared" ref="K4:K30" si="1">I4*$I$37</f>
        <v>1577.2082997159926</v>
      </c>
    </row>
    <row r="5" spans="1:11" x14ac:dyDescent="0.3">
      <c r="A5" s="10"/>
      <c r="B5" s="1" t="s">
        <v>7</v>
      </c>
      <c r="C5" s="1">
        <v>531.75380993722183</v>
      </c>
      <c r="E5">
        <f t="shared" si="0"/>
        <v>512.34922148240639</v>
      </c>
      <c r="G5" s="8"/>
      <c r="H5" s="1" t="s">
        <v>7</v>
      </c>
      <c r="I5" s="1">
        <v>541.47959873115656</v>
      </c>
      <c r="K5">
        <f t="shared" si="1"/>
        <v>535.50449593441465</v>
      </c>
    </row>
    <row r="6" spans="1:11" x14ac:dyDescent="0.3">
      <c r="A6" s="10"/>
      <c r="B6" s="1" t="s">
        <v>8</v>
      </c>
      <c r="C6" s="1">
        <v>1280.0964433642466</v>
      </c>
      <c r="E6">
        <f t="shared" si="0"/>
        <v>1233.3835769930802</v>
      </c>
      <c r="G6" s="8"/>
      <c r="H6" s="1" t="s">
        <v>8</v>
      </c>
      <c r="I6" s="1">
        <v>1303.509435262692</v>
      </c>
      <c r="K6">
        <f t="shared" si="1"/>
        <v>1289.1255085358707</v>
      </c>
    </row>
    <row r="7" spans="1:11" x14ac:dyDescent="0.3">
      <c r="A7" s="11"/>
      <c r="B7" s="1" t="s">
        <v>9</v>
      </c>
      <c r="C7" s="1">
        <v>6616.4006719390327</v>
      </c>
      <c r="E7">
        <f t="shared" si="0"/>
        <v>6374.9571134879925</v>
      </c>
      <c r="G7" s="8"/>
      <c r="H7" s="1" t="s">
        <v>9</v>
      </c>
      <c r="I7" s="1">
        <v>1574.4764617436888</v>
      </c>
      <c r="K7">
        <f t="shared" si="1"/>
        <v>1557.1024762195548</v>
      </c>
    </row>
    <row r="8" spans="1:11" x14ac:dyDescent="0.3">
      <c r="A8" s="2" t="s">
        <v>16</v>
      </c>
      <c r="B8" s="1" t="s">
        <v>17</v>
      </c>
      <c r="C8" s="1">
        <v>125.14271664554414</v>
      </c>
      <c r="E8">
        <f t="shared" si="0"/>
        <v>120.57604900867089</v>
      </c>
      <c r="G8" s="2" t="s">
        <v>16</v>
      </c>
      <c r="H8" s="1" t="s">
        <v>17</v>
      </c>
      <c r="I8" s="1">
        <v>124.96803791993777</v>
      </c>
      <c r="K8">
        <f t="shared" si="1"/>
        <v>123.58904437220579</v>
      </c>
    </row>
    <row r="9" spans="1:11" x14ac:dyDescent="0.3">
      <c r="A9" s="2"/>
      <c r="B9" s="1"/>
      <c r="C9" s="1"/>
      <c r="E9" s="13">
        <f>SUM(E3:E8)</f>
        <v>10362.925325640668</v>
      </c>
      <c r="G9" s="2"/>
      <c r="H9" s="1"/>
      <c r="I9" s="1"/>
      <c r="K9" s="13">
        <f>SUM(K3:K8)</f>
        <v>5884.6825194673875</v>
      </c>
    </row>
    <row r="10" spans="1:11" x14ac:dyDescent="0.3">
      <c r="A10" s="2" t="s">
        <v>3</v>
      </c>
      <c r="B10" s="1" t="s">
        <v>2</v>
      </c>
      <c r="C10" s="1">
        <v>608.96222904873821</v>
      </c>
      <c r="E10" s="13">
        <f t="shared" si="0"/>
        <v>586.74017587602498</v>
      </c>
      <c r="G10" s="2" t="s">
        <v>3</v>
      </c>
      <c r="H10" s="1" t="s">
        <v>2</v>
      </c>
      <c r="I10" s="1">
        <v>620.10036805866957</v>
      </c>
      <c r="K10" s="13">
        <f t="shared" si="1"/>
        <v>613.25770316024989</v>
      </c>
    </row>
    <row r="11" spans="1:11" x14ac:dyDescent="0.3">
      <c r="A11" s="9" t="s">
        <v>4</v>
      </c>
      <c r="B11" s="1" t="s">
        <v>5</v>
      </c>
      <c r="C11" s="1">
        <v>15311.752351643292</v>
      </c>
      <c r="E11">
        <f t="shared" si="0"/>
        <v>14753.000825366937</v>
      </c>
      <c r="G11" s="8" t="s">
        <v>4</v>
      </c>
      <c r="H11" s="1" t="s">
        <v>5</v>
      </c>
      <c r="I11" s="1">
        <v>3774.354697156396</v>
      </c>
      <c r="K11">
        <f t="shared" si="1"/>
        <v>3732.7055614184637</v>
      </c>
    </row>
    <row r="12" spans="1:11" x14ac:dyDescent="0.3">
      <c r="A12" s="11"/>
      <c r="B12" s="1" t="s">
        <v>17</v>
      </c>
      <c r="C12" s="1">
        <v>2860.6639595749643</v>
      </c>
      <c r="E12">
        <f t="shared" si="0"/>
        <v>2756.2735333932915</v>
      </c>
      <c r="G12" s="8"/>
      <c r="H12" s="1" t="s">
        <v>17</v>
      </c>
      <c r="I12" s="1">
        <v>2912.9855658546294</v>
      </c>
      <c r="K12">
        <f t="shared" si="1"/>
        <v>2880.8414403101165</v>
      </c>
    </row>
    <row r="13" spans="1:11" x14ac:dyDescent="0.3">
      <c r="A13" s="5"/>
      <c r="B13" s="1"/>
      <c r="C13" s="1"/>
      <c r="E13" s="13">
        <f>SUM(E11:E12)</f>
        <v>17509.274358760227</v>
      </c>
      <c r="G13" s="6"/>
      <c r="H13" s="1"/>
      <c r="I13" s="1"/>
      <c r="K13" s="13">
        <f>SUM(K11:K12)</f>
        <v>6613.5470017285807</v>
      </c>
    </row>
    <row r="14" spans="1:11" x14ac:dyDescent="0.3">
      <c r="A14" s="9" t="s">
        <v>10</v>
      </c>
      <c r="B14" s="1" t="s">
        <v>11</v>
      </c>
      <c r="C14" s="1">
        <v>24582.967679068861</v>
      </c>
      <c r="E14">
        <f t="shared" si="0"/>
        <v>23685.893954544583</v>
      </c>
      <c r="G14" s="8" t="s">
        <v>10</v>
      </c>
      <c r="H14" s="1" t="s">
        <v>11</v>
      </c>
      <c r="I14" s="1">
        <v>16933.535702513818</v>
      </c>
      <c r="K14">
        <f t="shared" si="1"/>
        <v>16746.67803184273</v>
      </c>
    </row>
    <row r="15" spans="1:11" x14ac:dyDescent="0.3">
      <c r="A15" s="10"/>
      <c r="B15" s="1" t="s">
        <v>12</v>
      </c>
      <c r="C15" s="1">
        <v>4693.2643796725079</v>
      </c>
      <c r="E15">
        <f t="shared" si="0"/>
        <v>4521.9992902734475</v>
      </c>
      <c r="G15" s="8"/>
      <c r="H15" s="1" t="s">
        <v>12</v>
      </c>
      <c r="I15" s="1">
        <v>2709.3267726241284</v>
      </c>
      <c r="K15">
        <f t="shared" si="1"/>
        <v>2679.4299750082469</v>
      </c>
    </row>
    <row r="16" spans="1:11" x14ac:dyDescent="0.3">
      <c r="A16" s="10"/>
      <c r="B16" s="1" t="s">
        <v>13</v>
      </c>
      <c r="C16" s="1">
        <v>86.469269861763905</v>
      </c>
      <c r="E16">
        <f t="shared" si="0"/>
        <v>83.313861166424246</v>
      </c>
      <c r="G16" s="8"/>
      <c r="H16" s="1" t="s">
        <v>13</v>
      </c>
      <c r="I16" s="1">
        <v>0</v>
      </c>
      <c r="K16">
        <f t="shared" si="1"/>
        <v>0</v>
      </c>
    </row>
    <row r="17" spans="1:11" x14ac:dyDescent="0.3">
      <c r="A17" s="10"/>
      <c r="B17" s="1" t="s">
        <v>14</v>
      </c>
      <c r="C17" s="1">
        <v>0.40290232294385325</v>
      </c>
      <c r="E17">
        <f t="shared" si="0"/>
        <v>0.38819974137676</v>
      </c>
      <c r="G17" s="8"/>
      <c r="H17" s="1" t="s">
        <v>14</v>
      </c>
      <c r="I17" s="1">
        <v>0</v>
      </c>
      <c r="K17">
        <f t="shared" si="1"/>
        <v>0</v>
      </c>
    </row>
    <row r="18" spans="1:11" x14ac:dyDescent="0.3">
      <c r="A18" s="11"/>
      <c r="B18" s="1" t="s">
        <v>15</v>
      </c>
      <c r="C18" s="1">
        <v>0.14623829632970606</v>
      </c>
      <c r="E18">
        <f t="shared" si="0"/>
        <v>0.14090181560576673</v>
      </c>
      <c r="G18" s="8"/>
      <c r="H18" s="1" t="s">
        <v>15</v>
      </c>
      <c r="I18" s="1">
        <v>0</v>
      </c>
      <c r="K18">
        <f t="shared" si="1"/>
        <v>0</v>
      </c>
    </row>
    <row r="19" spans="1:11" x14ac:dyDescent="0.3">
      <c r="A19" s="5"/>
      <c r="B19" s="1"/>
      <c r="C19" s="1"/>
      <c r="E19" s="13">
        <f>SUM(E14:E18)</f>
        <v>28291.736207541438</v>
      </c>
      <c r="G19" s="6"/>
      <c r="H19" s="1"/>
      <c r="I19" s="1"/>
      <c r="K19" s="13">
        <f>SUM(K14:K18)</f>
        <v>19426.108006850976</v>
      </c>
    </row>
    <row r="20" spans="1:11" x14ac:dyDescent="0.3">
      <c r="A20" s="9" t="s">
        <v>18</v>
      </c>
      <c r="B20" s="1" t="s">
        <v>19</v>
      </c>
      <c r="C20" s="1">
        <v>66.335287128620507</v>
      </c>
      <c r="E20">
        <f t="shared" si="0"/>
        <v>63.914601234682372</v>
      </c>
      <c r="G20" s="8" t="s">
        <v>18</v>
      </c>
      <c r="H20" s="1" t="s">
        <v>19</v>
      </c>
      <c r="I20" s="1">
        <v>0</v>
      </c>
      <c r="K20">
        <f t="shared" si="1"/>
        <v>0</v>
      </c>
    </row>
    <row r="21" spans="1:11" x14ac:dyDescent="0.3">
      <c r="A21" s="11"/>
      <c r="B21" s="1" t="s">
        <v>17</v>
      </c>
      <c r="C21" s="1">
        <v>341.12499127827641</v>
      </c>
      <c r="E21">
        <f t="shared" si="0"/>
        <v>328.67676816504866</v>
      </c>
      <c r="G21" s="8"/>
      <c r="H21" s="1" t="s">
        <v>17</v>
      </c>
      <c r="I21" s="1">
        <v>343.63590414420537</v>
      </c>
      <c r="K21">
        <f t="shared" si="1"/>
        <v>339.8439610004113</v>
      </c>
    </row>
    <row r="22" spans="1:11" x14ac:dyDescent="0.3">
      <c r="A22" s="2" t="s">
        <v>20</v>
      </c>
      <c r="B22" s="1" t="s">
        <v>17</v>
      </c>
      <c r="C22" s="1">
        <v>3029.5822404251253</v>
      </c>
      <c r="E22">
        <f t="shared" si="0"/>
        <v>2919.0277028423902</v>
      </c>
      <c r="G22" s="2" t="s">
        <v>20</v>
      </c>
      <c r="H22" s="1" t="s">
        <v>17</v>
      </c>
      <c r="I22" s="1">
        <v>3055.6396737405903</v>
      </c>
      <c r="K22">
        <f t="shared" si="1"/>
        <v>3021.9213929352077</v>
      </c>
    </row>
    <row r="23" spans="1:11" x14ac:dyDescent="0.3">
      <c r="A23" s="2"/>
      <c r="B23" s="1"/>
      <c r="C23" s="1"/>
      <c r="E23" s="13">
        <f>SUM(E20:E22)</f>
        <v>3311.6190722421211</v>
      </c>
      <c r="G23" s="2"/>
      <c r="H23" s="1"/>
      <c r="I23" s="1"/>
      <c r="K23" s="13">
        <f>SUM(K20:K22)</f>
        <v>3361.7653539356188</v>
      </c>
    </row>
    <row r="24" spans="1:11" x14ac:dyDescent="0.3">
      <c r="A24" s="2" t="s">
        <v>21</v>
      </c>
      <c r="B24" s="1" t="s">
        <v>17</v>
      </c>
      <c r="C24" s="1">
        <v>669.79748827998003</v>
      </c>
      <c r="E24">
        <f t="shared" si="0"/>
        <v>645.35545445670289</v>
      </c>
      <c r="G24" s="2" t="s">
        <v>21</v>
      </c>
      <c r="H24" s="1" t="s">
        <v>17</v>
      </c>
      <c r="I24" s="1">
        <v>675.34938220462288</v>
      </c>
      <c r="K24">
        <f t="shared" si="1"/>
        <v>667.89705714594186</v>
      </c>
    </row>
    <row r="25" spans="1:11" x14ac:dyDescent="0.3">
      <c r="A25" s="2"/>
      <c r="B25" s="1"/>
      <c r="C25" s="1"/>
      <c r="E25" s="13">
        <f>E24</f>
        <v>645.35545445670289</v>
      </c>
      <c r="G25" s="2"/>
      <c r="H25" s="1"/>
      <c r="I25" s="1"/>
      <c r="K25" s="13">
        <f>K24</f>
        <v>667.89705714594186</v>
      </c>
    </row>
    <row r="26" spans="1:11" x14ac:dyDescent="0.3">
      <c r="A26" s="2" t="s">
        <v>22</v>
      </c>
      <c r="B26" s="1" t="s">
        <v>25</v>
      </c>
      <c r="C26" s="1">
        <v>352.3571254601033</v>
      </c>
      <c r="E26">
        <f t="shared" si="0"/>
        <v>339.49902293050928</v>
      </c>
      <c r="G26" s="2" t="s">
        <v>22</v>
      </c>
      <c r="H26" s="1" t="s">
        <v>25</v>
      </c>
      <c r="I26" s="1">
        <v>358.80171500822553</v>
      </c>
      <c r="K26">
        <f t="shared" si="1"/>
        <v>354.84242063066233</v>
      </c>
    </row>
    <row r="27" spans="1:11" x14ac:dyDescent="0.3">
      <c r="A27" s="2" t="s">
        <v>23</v>
      </c>
      <c r="B27" s="1" t="s">
        <v>23</v>
      </c>
      <c r="C27" s="1">
        <v>8997.5604428272018</v>
      </c>
      <c r="E27">
        <f t="shared" si="0"/>
        <v>8669.2243703296663</v>
      </c>
      <c r="G27" s="2" t="s">
        <v>23</v>
      </c>
      <c r="H27" s="1" t="s">
        <v>23</v>
      </c>
      <c r="I27" s="1">
        <v>0</v>
      </c>
      <c r="K27">
        <f t="shared" si="1"/>
        <v>0</v>
      </c>
    </row>
    <row r="28" spans="1:11" x14ac:dyDescent="0.3">
      <c r="A28" s="2" t="s">
        <v>24</v>
      </c>
      <c r="B28" s="1" t="s">
        <v>25</v>
      </c>
      <c r="C28" s="1">
        <v>2674.73</v>
      </c>
      <c r="E28">
        <f t="shared" si="0"/>
        <v>2577.1246158770809</v>
      </c>
      <c r="G28" s="2" t="s">
        <v>24</v>
      </c>
      <c r="H28" s="1" t="s">
        <v>25</v>
      </c>
      <c r="I28" s="1">
        <v>2674.73</v>
      </c>
      <c r="K28">
        <f t="shared" si="1"/>
        <v>2645.214969810535</v>
      </c>
    </row>
    <row r="29" spans="1:11" x14ac:dyDescent="0.3">
      <c r="A29" s="2"/>
      <c r="B29" s="1"/>
      <c r="C29" s="1"/>
      <c r="E29" s="13">
        <f>SUM(E26:E28)</f>
        <v>11585.848009137257</v>
      </c>
      <c r="G29" s="2"/>
      <c r="H29" s="1"/>
      <c r="I29" s="1"/>
      <c r="K29" s="13">
        <f>SUM(K26:K28)</f>
        <v>3000.0573904411972</v>
      </c>
    </row>
    <row r="30" spans="1:11" x14ac:dyDescent="0.3">
      <c r="A30" s="2" t="s">
        <v>30</v>
      </c>
      <c r="B30" s="1" t="s">
        <v>26</v>
      </c>
      <c r="C30" s="4">
        <f>14970.42+3719.200493</f>
        <v>18689.620492999999</v>
      </c>
      <c r="E30">
        <f t="shared" si="0"/>
        <v>18007.604892423173</v>
      </c>
      <c r="G30" s="2" t="s">
        <v>30</v>
      </c>
      <c r="H30" s="1" t="s">
        <v>26</v>
      </c>
      <c r="I30" s="1">
        <v>8018.4944731484566</v>
      </c>
      <c r="K30">
        <f t="shared" si="1"/>
        <v>7930.0122314085293</v>
      </c>
    </row>
    <row r="31" spans="1:11" x14ac:dyDescent="0.3">
      <c r="E31" s="13">
        <f>E30</f>
        <v>18007.604892423173</v>
      </c>
      <c r="K31" s="13">
        <f>K30</f>
        <v>7930.0122314085293</v>
      </c>
    </row>
    <row r="32" spans="1:11" x14ac:dyDescent="0.3">
      <c r="C32">
        <f>SUM(C3:C30)</f>
        <v>93721.145289616761</v>
      </c>
      <c r="I32">
        <f>SUM(I3:I30)</f>
        <v>48027.297442033079</v>
      </c>
    </row>
    <row r="33" spans="3:9" x14ac:dyDescent="0.3">
      <c r="C33">
        <v>93.72</v>
      </c>
      <c r="I33" s="12">
        <v>48.03</v>
      </c>
    </row>
    <row r="37" spans="3:9" x14ac:dyDescent="0.3">
      <c r="C37">
        <f>90.3/C33</f>
        <v>0.96350832266325226</v>
      </c>
      <c r="I37">
        <f>47.5/I33</f>
        <v>0.98896523006454296</v>
      </c>
    </row>
    <row r="39" spans="3:9" x14ac:dyDescent="0.3">
      <c r="C39">
        <f>C37*C33</f>
        <v>90.3</v>
      </c>
    </row>
  </sheetData>
  <mergeCells count="10">
    <mergeCell ref="A1:C1"/>
    <mergeCell ref="A3:A7"/>
    <mergeCell ref="A11:A12"/>
    <mergeCell ref="A14:A18"/>
    <mergeCell ref="A20:A21"/>
    <mergeCell ref="G1:I1"/>
    <mergeCell ref="G3:G7"/>
    <mergeCell ref="G11:G12"/>
    <mergeCell ref="G14:G18"/>
    <mergeCell ref="G20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Marco Antonio Navia Orellana</cp:lastModifiedBy>
  <dcterms:created xsi:type="dcterms:W3CDTF">2025-06-20T10:08:44Z</dcterms:created>
  <dcterms:modified xsi:type="dcterms:W3CDTF">2025-06-24T08:00:21Z</dcterms:modified>
</cp:coreProperties>
</file>