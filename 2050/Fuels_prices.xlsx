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"/>
    </mc:Choice>
  </mc:AlternateContent>
  <xr:revisionPtr revIDLastSave="0" documentId="13_ncr:1_{7372BAE4-99BA-4E73-BAF7-A2C1C5F4FD8C}" xr6:coauthVersionLast="47" xr6:coauthVersionMax="47" xr10:uidLastSave="{00000000-0000-0000-0000-000000000000}"/>
  <bookViews>
    <workbookView xWindow="-108" yWindow="-108" windowWidth="23256" windowHeight="12576" xr2:uid="{5D09E872-8F28-4394-9A44-3B062E668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M2" i="1"/>
  <c r="N2" i="1"/>
  <c r="O2" i="1"/>
  <c r="P2" i="1"/>
  <c r="K3" i="1"/>
  <c r="L3" i="1"/>
  <c r="M3" i="1"/>
  <c r="N3" i="1"/>
  <c r="O3" i="1"/>
  <c r="P3" i="1"/>
  <c r="K4" i="1"/>
  <c r="L4" i="1"/>
  <c r="M4" i="1"/>
  <c r="N4" i="1"/>
  <c r="O4" i="1"/>
  <c r="P4" i="1"/>
  <c r="K5" i="1"/>
  <c r="L5" i="1"/>
  <c r="M5" i="1"/>
  <c r="N5" i="1"/>
  <c r="O5" i="1"/>
  <c r="P5" i="1"/>
  <c r="K6" i="1"/>
  <c r="L6" i="1"/>
  <c r="M6" i="1"/>
  <c r="N6" i="1"/>
  <c r="O6" i="1"/>
  <c r="P6" i="1"/>
  <c r="K7" i="1"/>
  <c r="L7" i="1"/>
  <c r="M7" i="1"/>
  <c r="N7" i="1"/>
  <c r="O7" i="1"/>
  <c r="P7" i="1"/>
  <c r="K8" i="1"/>
  <c r="L8" i="1"/>
  <c r="M8" i="1"/>
  <c r="N8" i="1"/>
  <c r="O8" i="1"/>
  <c r="P8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<sst xmlns="http://schemas.openxmlformats.org/spreadsheetml/2006/main" count="22" uniqueCount="15">
  <si>
    <t>param c_op :</t>
  </si>
  <si>
    <t>GASOLINE</t>
  </si>
  <si>
    <t>DIESEL</t>
  </si>
  <si>
    <t>GAS</t>
  </si>
  <si>
    <t>WOOD</t>
  </si>
  <si>
    <t>WET_BIOMASS</t>
  </si>
  <si>
    <t>LPG</t>
  </si>
  <si>
    <t>YEAR_2021</t>
  </si>
  <si>
    <t>YEAR_2025</t>
  </si>
  <si>
    <t>YEAR_2030</t>
  </si>
  <si>
    <t>YEAR_2035</t>
  </si>
  <si>
    <t>YEAR_2040</t>
  </si>
  <si>
    <t>YEAR_2045</t>
  </si>
  <si>
    <t>YEAR_2050</t>
  </si>
  <si>
    <t>JET FUEL/KEROSENE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</si>
</sst>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DC58-88A5-4577-A6B2-111A3E070958}">
  <dimension ref="A1:P8"/>
  <sheetViews>
    <sheetView tabSelected="1" workbookViewId="0">
      <selection activeCell="O4" sqref="O4"/>
    </sheetView>
  </sheetViews>
  <sheetFormatPr baseColWidth="10" defaultColWidth="8.88671875" defaultRowHeight="14.4" x14ac:dyDescent="0.3"/>
  <cols>
    <col min="1" max="1" width="11.77734375" bestFit="1" customWidth="1"/>
    <col min="10" max="16" width="10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5</v>
      </c>
      <c r="H1" t="s">
        <v>6</v>
      </c>
      <c r="J1" t="s">
        <v>1</v>
      </c>
      <c r="K1" t="s">
        <v>2</v>
      </c>
      <c r="L1" t="s">
        <v>14</v>
      </c>
      <c r="M1" t="s">
        <v>3</v>
      </c>
      <c r="N1" t="s">
        <v>4</v>
      </c>
      <c r="O1" t="s">
        <v>5</v>
      </c>
      <c r="P1" t="s">
        <v>6</v>
      </c>
    </row>
    <row r="2" spans="1:16" x14ac:dyDescent="0.3">
      <c r="A2" t="s">
        <v>7</v>
      </c>
      <c r="B2">
        <v>0.124118331</v>
      </c>
      <c r="C2">
        <v>0.111311495</v>
      </c>
      <c r="D2">
        <v>8.5115654999999998E-2</v>
      </c>
      <c r="E2">
        <v>1.0662519000000001E-2</v>
      </c>
      <c r="F2">
        <v>1.6980597E-2</v>
      </c>
      <c r="G2">
        <v>1.0318121E-2</v>
      </c>
      <c r="H2">
        <v>2.1578745E-2</v>
      </c>
      <c r="J2">
        <f>(B2/1000)*1000000</f>
        <v>124.118331</v>
      </c>
      <c r="K2">
        <f t="shared" ref="K2:P8" si="0">(C2/1000)*1000000</f>
        <v>111.31149499999999</v>
      </c>
      <c r="L2">
        <f t="shared" si="0"/>
        <v>85.115655000000004</v>
      </c>
      <c r="M2">
        <f t="shared" si="0"/>
        <v>10.662519</v>
      </c>
      <c r="N2">
        <f t="shared" si="0"/>
        <v>16.980596999999999</v>
      </c>
      <c r="O2">
        <f t="shared" si="0"/>
        <v>10.318121</v>
      </c>
      <c r="P2">
        <f t="shared" si="0"/>
        <v>21.578745000000001</v>
      </c>
    </row>
    <row r="3" spans="1:16" x14ac:dyDescent="0.3">
      <c r="A3" t="s">
        <v>8</v>
      </c>
      <c r="B3">
        <v>0.11642708</v>
      </c>
      <c r="C3">
        <v>0.108136022</v>
      </c>
      <c r="D3">
        <v>8.3725505000000006E-2</v>
      </c>
      <c r="E3">
        <v>9.5924389999999995E-3</v>
      </c>
      <c r="F3">
        <v>1.6980597E-2</v>
      </c>
      <c r="G3">
        <v>1.0318121E-2</v>
      </c>
      <c r="H3">
        <v>1.8671291E-2</v>
      </c>
      <c r="J3">
        <f t="shared" ref="J3:J8" si="1">(B3/1000)*1000000</f>
        <v>116.42708</v>
      </c>
      <c r="K3">
        <f t="shared" si="0"/>
        <v>108.136022</v>
      </c>
      <c r="L3">
        <f t="shared" si="0"/>
        <v>83.725504999999998</v>
      </c>
      <c r="M3">
        <f t="shared" si="0"/>
        <v>9.5924390000000006</v>
      </c>
      <c r="N3">
        <f t="shared" si="0"/>
        <v>16.980596999999999</v>
      </c>
      <c r="O3">
        <f t="shared" si="0"/>
        <v>10.318121</v>
      </c>
      <c r="P3">
        <f t="shared" si="0"/>
        <v>18.671291</v>
      </c>
    </row>
    <row r="4" spans="1:16" x14ac:dyDescent="0.3">
      <c r="A4" t="s">
        <v>9</v>
      </c>
      <c r="B4">
        <v>0.119955167</v>
      </c>
      <c r="C4">
        <v>0.111412866</v>
      </c>
      <c r="D4">
        <v>8.6262637000000003E-2</v>
      </c>
      <c r="E4">
        <v>1.2483698E-2</v>
      </c>
      <c r="F4">
        <v>1.6980597E-2</v>
      </c>
      <c r="G4">
        <v>1.0318121E-2</v>
      </c>
      <c r="H4">
        <v>1.9237087E-2</v>
      </c>
      <c r="J4">
        <f t="shared" si="1"/>
        <v>119.955167</v>
      </c>
      <c r="K4" s="1">
        <f t="shared" si="0"/>
        <v>111.41286600000001</v>
      </c>
      <c r="L4">
        <f t="shared" si="0"/>
        <v>86.262636999999998</v>
      </c>
      <c r="M4" s="1">
        <f t="shared" si="0"/>
        <v>12.483698</v>
      </c>
      <c r="N4">
        <f t="shared" si="0"/>
        <v>16.980596999999999</v>
      </c>
      <c r="O4" s="1">
        <f t="shared" si="0"/>
        <v>10.318121</v>
      </c>
      <c r="P4">
        <f t="shared" si="0"/>
        <v>19.237086999999999</v>
      </c>
    </row>
    <row r="5" spans="1:16" x14ac:dyDescent="0.3">
      <c r="A5" t="s">
        <v>10</v>
      </c>
      <c r="B5">
        <v>0.123483254</v>
      </c>
      <c r="C5">
        <v>0.114689709</v>
      </c>
      <c r="D5">
        <v>8.8799769000000001E-2</v>
      </c>
      <c r="E5">
        <v>1.4662870999999999E-2</v>
      </c>
      <c r="F5">
        <v>1.6980597E-2</v>
      </c>
      <c r="G5">
        <v>1.0318121E-2</v>
      </c>
      <c r="H5">
        <v>1.9802883E-2</v>
      </c>
      <c r="J5">
        <f t="shared" si="1"/>
        <v>123.48325400000002</v>
      </c>
      <c r="K5">
        <f t="shared" si="0"/>
        <v>114.68970899999999</v>
      </c>
      <c r="L5">
        <f t="shared" si="0"/>
        <v>88.799769000000012</v>
      </c>
      <c r="M5">
        <f t="shared" si="0"/>
        <v>14.662870999999999</v>
      </c>
      <c r="N5">
        <f t="shared" si="0"/>
        <v>16.980596999999999</v>
      </c>
      <c r="O5">
        <f t="shared" si="0"/>
        <v>10.318121</v>
      </c>
      <c r="P5">
        <f t="shared" si="0"/>
        <v>19.802883000000001</v>
      </c>
    </row>
    <row r="6" spans="1:16" x14ac:dyDescent="0.3">
      <c r="A6" t="s">
        <v>11</v>
      </c>
      <c r="B6">
        <v>0.12701135299999999</v>
      </c>
      <c r="C6">
        <v>0.117966564</v>
      </c>
      <c r="D6">
        <v>9.1336909999999993E-2</v>
      </c>
      <c r="E6">
        <v>1.6741244999999998E-2</v>
      </c>
      <c r="F6">
        <v>1.6980597E-2</v>
      </c>
      <c r="G6">
        <v>1.0318121E-2</v>
      </c>
      <c r="H6">
        <v>2.0368681E-2</v>
      </c>
      <c r="J6">
        <f t="shared" si="1"/>
        <v>127.011353</v>
      </c>
      <c r="K6">
        <f t="shared" si="0"/>
        <v>117.96656399999999</v>
      </c>
      <c r="L6">
        <f t="shared" si="0"/>
        <v>91.336909999999989</v>
      </c>
      <c r="M6">
        <f t="shared" si="0"/>
        <v>16.741244999999999</v>
      </c>
      <c r="N6">
        <f t="shared" si="0"/>
        <v>16.980596999999999</v>
      </c>
      <c r="O6">
        <f t="shared" si="0"/>
        <v>10.318121</v>
      </c>
      <c r="P6">
        <f t="shared" si="0"/>
        <v>20.368680999999999</v>
      </c>
    </row>
    <row r="7" spans="1:16" x14ac:dyDescent="0.3">
      <c r="A7" t="s">
        <v>12</v>
      </c>
      <c r="B7">
        <v>0.13053944100000001</v>
      </c>
      <c r="C7">
        <v>0.121243407</v>
      </c>
      <c r="D7">
        <v>9.3874042000000005E-2</v>
      </c>
      <c r="E7">
        <v>1.8203971999999999E-2</v>
      </c>
      <c r="F7">
        <v>1.6980597E-2</v>
      </c>
      <c r="G7">
        <v>1.0318121E-2</v>
      </c>
      <c r="H7">
        <v>2.0934476E-2</v>
      </c>
      <c r="J7">
        <f t="shared" si="1"/>
        <v>130.53944100000001</v>
      </c>
      <c r="K7">
        <f t="shared" si="0"/>
        <v>121.24340699999999</v>
      </c>
      <c r="L7">
        <f t="shared" si="0"/>
        <v>93.874042000000017</v>
      </c>
      <c r="M7">
        <f t="shared" si="0"/>
        <v>18.203971999999997</v>
      </c>
      <c r="N7">
        <f t="shared" si="0"/>
        <v>16.980596999999999</v>
      </c>
      <c r="O7">
        <f t="shared" si="0"/>
        <v>10.318121</v>
      </c>
      <c r="P7">
        <f t="shared" si="0"/>
        <v>20.934476000000004</v>
      </c>
    </row>
    <row r="8" spans="1:16" x14ac:dyDescent="0.3">
      <c r="A8" t="s">
        <v>13</v>
      </c>
      <c r="B8">
        <v>0.13406752799999999</v>
      </c>
      <c r="C8">
        <v>0.12452025</v>
      </c>
      <c r="D8">
        <v>9.6411174000000002E-2</v>
      </c>
      <c r="E8">
        <v>2.0245949999999999E-2</v>
      </c>
      <c r="F8">
        <v>1.6980597E-2</v>
      </c>
      <c r="G8">
        <v>1.0318121E-2</v>
      </c>
      <c r="H8">
        <v>2.1500272000000001E-2</v>
      </c>
      <c r="J8">
        <f t="shared" si="1"/>
        <v>134.06752799999998</v>
      </c>
      <c r="K8">
        <f t="shared" si="0"/>
        <v>124.52025</v>
      </c>
      <c r="L8">
        <f t="shared" si="0"/>
        <v>96.411174000000003</v>
      </c>
      <c r="M8">
        <f t="shared" si="0"/>
        <v>20.245950000000001</v>
      </c>
      <c r="N8">
        <f t="shared" si="0"/>
        <v>16.980596999999999</v>
      </c>
      <c r="O8">
        <f t="shared" si="0"/>
        <v>10.318121</v>
      </c>
      <c r="P8">
        <f t="shared" si="0"/>
        <v>21.500272000000002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Marco Antonio Navia Orellana</cp:lastModifiedBy>
  <dcterms:created xsi:type="dcterms:W3CDTF">2025-05-31T09:33:10Z</dcterms:created>
  <dcterms:modified xsi:type="dcterms:W3CDTF">2025-10-01T11:02:58Z</dcterms:modified>
</cp:coreProperties>
</file>