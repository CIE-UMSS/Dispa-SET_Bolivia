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MIX CARLOS (NZE)\"/>
    </mc:Choice>
  </mc:AlternateContent>
  <xr:revisionPtr revIDLastSave="0" documentId="8_{EA4DF4C2-6ED1-4767-8C5B-8D683F0DC2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4" i="1"/>
  <c r="J15" i="1"/>
  <c r="J12" i="1"/>
  <c r="H13" i="1"/>
  <c r="H14" i="1"/>
  <c r="H15" i="1"/>
  <c r="H12" i="1"/>
  <c r="E13" i="1"/>
  <c r="E14" i="1"/>
  <c r="E15" i="1"/>
  <c r="E12" i="1"/>
  <c r="B13" i="1"/>
  <c r="B14" i="1"/>
  <c r="B15" i="1"/>
  <c r="B12" i="1"/>
  <c r="C4" i="1"/>
  <c r="C5" i="1"/>
  <c r="C3" i="1"/>
  <c r="C2" i="1"/>
  <c r="B6" i="1"/>
</calcChain>
</file>

<file path=xl/sharedStrings.xml><?xml version="1.0" encoding="utf-8"?>
<sst xmlns="http://schemas.openxmlformats.org/spreadsheetml/2006/main" count="33" uniqueCount="15">
  <si>
    <t>Store</t>
  </si>
  <si>
    <t>e_nom_opt</t>
  </si>
  <si>
    <t>BO 0 battery</t>
  </si>
  <si>
    <t>BO 1 battery</t>
  </si>
  <si>
    <t>BO 2 battery</t>
  </si>
  <si>
    <t>BO 3 battery</t>
  </si>
  <si>
    <t>Storage capacity (MWh)</t>
  </si>
  <si>
    <t>Pumped hydro</t>
  </si>
  <si>
    <t>Lithium batteries</t>
  </si>
  <si>
    <t>Electric vehicles batteries</t>
  </si>
  <si>
    <t>TOTAL BAT</t>
  </si>
  <si>
    <t>OR</t>
  </si>
  <si>
    <t>NO</t>
  </si>
  <si>
    <t>SU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</si>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</sst>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5" sqref="E5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F1" s="2"/>
      <c r="G1" s="3" t="s">
        <v>6</v>
      </c>
    </row>
    <row r="2" spans="1:12" x14ac:dyDescent="0.3">
      <c r="A2" s="1" t="s">
        <v>2</v>
      </c>
      <c r="B2">
        <v>1532.1729442559499</v>
      </c>
      <c r="C2">
        <f>B2*100/B6</f>
        <v>2.5510605319517219</v>
      </c>
      <c r="F2" s="2" t="s">
        <v>7</v>
      </c>
      <c r="G2" s="2">
        <v>56710.740080000003</v>
      </c>
    </row>
    <row r="3" spans="1:12" x14ac:dyDescent="0.3">
      <c r="A3" s="1" t="s">
        <v>3</v>
      </c>
      <c r="B3">
        <v>2150.0269723750812</v>
      </c>
      <c r="C3">
        <f>B3*100/$B$6</f>
        <v>3.5797844965349279</v>
      </c>
      <c r="F3" s="2" t="s">
        <v>8</v>
      </c>
      <c r="G3" s="2">
        <v>4.8980287640000002</v>
      </c>
    </row>
    <row r="4" spans="1:12" x14ac:dyDescent="0.3">
      <c r="A4" s="1" t="s">
        <v>4</v>
      </c>
      <c r="B4">
        <v>18995.41569166338</v>
      </c>
      <c r="C4">
        <f t="shared" ref="C4:C5" si="0">B4*100/$B$6</f>
        <v>31.627275132802414</v>
      </c>
      <c r="F4" s="2" t="s">
        <v>9</v>
      </c>
      <c r="G4" s="2">
        <v>3344.4031089999999</v>
      </c>
    </row>
    <row r="5" spans="1:12" x14ac:dyDescent="0.3">
      <c r="A5" s="1" t="s">
        <v>5</v>
      </c>
      <c r="B5">
        <v>37382.619147630459</v>
      </c>
      <c r="C5">
        <f t="shared" si="0"/>
        <v>62.241879838710929</v>
      </c>
    </row>
    <row r="6" spans="1:12" x14ac:dyDescent="0.3">
      <c r="B6">
        <f>SUM(B2:B5)</f>
        <v>60060.234755924874</v>
      </c>
    </row>
    <row r="11" spans="1:12" x14ac:dyDescent="0.3">
      <c r="A11" s="1" t="s">
        <v>0</v>
      </c>
      <c r="B11" s="2" t="s">
        <v>7</v>
      </c>
      <c r="D11" s="1" t="s">
        <v>0</v>
      </c>
      <c r="E11" s="2" t="s">
        <v>8</v>
      </c>
      <c r="G11" s="1" t="s">
        <v>0</v>
      </c>
      <c r="H11" s="2" t="s">
        <v>9</v>
      </c>
      <c r="J11" t="s">
        <v>10</v>
      </c>
    </row>
    <row r="12" spans="1:12" x14ac:dyDescent="0.3">
      <c r="A12" s="1" t="s">
        <v>2</v>
      </c>
      <c r="B12">
        <f>$G$2*C2/100</f>
        <v>1446.7253075586063</v>
      </c>
      <c r="D12" s="1" t="s">
        <v>2</v>
      </c>
      <c r="E12">
        <f>$G$3*C2/100</f>
        <v>0.12495167864204676</v>
      </c>
      <c r="G12" s="1" t="s">
        <v>2</v>
      </c>
      <c r="H12">
        <f>$G$4*C2/100</f>
        <v>85.317747743065325</v>
      </c>
      <c r="J12">
        <f>E12+H12</f>
        <v>85.442699421707374</v>
      </c>
      <c r="L12" t="s">
        <v>11</v>
      </c>
    </row>
    <row r="13" spans="1:12" x14ac:dyDescent="0.3">
      <c r="A13" s="1" t="s">
        <v>3</v>
      </c>
      <c r="B13">
        <f t="shared" ref="B13:B15" si="1">$G$2*C3/100</f>
        <v>2030.1222812540595</v>
      </c>
      <c r="D13" s="1" t="s">
        <v>3</v>
      </c>
      <c r="E13">
        <f t="shared" ref="E13:E15" si="2">$G$3*C3/100</f>
        <v>0.17533887432949335</v>
      </c>
      <c r="G13" s="1" t="s">
        <v>3</v>
      </c>
      <c r="H13">
        <f t="shared" ref="H13:H15" si="3">$G$4*C3/100</f>
        <v>119.72242399761411</v>
      </c>
      <c r="J13">
        <f t="shared" ref="J13:J15" si="4">E13+H13</f>
        <v>119.89776287194361</v>
      </c>
      <c r="L13" t="s">
        <v>12</v>
      </c>
    </row>
    <row r="14" spans="1:12" x14ac:dyDescent="0.3">
      <c r="A14" s="1" t="s">
        <v>4</v>
      </c>
      <c r="B14">
        <f t="shared" si="1"/>
        <v>17936.061794950052</v>
      </c>
      <c r="D14" s="1" t="s">
        <v>4</v>
      </c>
      <c r="E14">
        <f t="shared" si="2"/>
        <v>1.5491130332740815</v>
      </c>
      <c r="G14" s="1" t="s">
        <v>4</v>
      </c>
      <c r="H14">
        <f t="shared" si="3"/>
        <v>1057.7435728334278</v>
      </c>
      <c r="J14">
        <f t="shared" si="4"/>
        <v>1059.292685866702</v>
      </c>
      <c r="L14" t="s">
        <v>13</v>
      </c>
    </row>
    <row r="15" spans="1:12" x14ac:dyDescent="0.3">
      <c r="A15" s="1" t="s">
        <v>5</v>
      </c>
      <c r="B15">
        <f t="shared" si="1"/>
        <v>35297.830696237281</v>
      </c>
      <c r="D15" s="1" t="s">
        <v>5</v>
      </c>
      <c r="E15">
        <f t="shared" si="2"/>
        <v>3.0486251777543782</v>
      </c>
      <c r="G15" s="1" t="s">
        <v>5</v>
      </c>
      <c r="H15">
        <f t="shared" si="3"/>
        <v>2081.6193644258924</v>
      </c>
      <c r="J15">
        <f t="shared" si="4"/>
        <v>2084.6679896036467</v>
      </c>
      <c r="L1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Navia Orellana</cp:lastModifiedBy>
  <dcterms:created xsi:type="dcterms:W3CDTF">2024-11-29T14:57:53Z</dcterms:created>
  <dcterms:modified xsi:type="dcterms:W3CDTF">2025-04-03T15:34:44Z</dcterms:modified>
</cp:coreProperties>
</file>