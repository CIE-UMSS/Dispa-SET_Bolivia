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MIX CARLOS (NZE)\"/>
    </mc:Choice>
  </mc:AlternateContent>
  <xr:revisionPtr revIDLastSave="0" documentId="13_ncr:1_{F8109499-2D9B-4AA2-AD6D-B88D5B91D59A}" xr6:coauthVersionLast="47" xr6:coauthVersionMax="47" xr10:uidLastSave="{00000000-0000-0000-0000-000000000000}"/>
  <bookViews>
    <workbookView xWindow="4536" yWindow="2400" windowWidth="17280" windowHeight="89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20" i="1"/>
  <c r="E17" i="1"/>
  <c r="E18" i="1"/>
  <c r="E19" i="1"/>
  <c r="E16" i="1"/>
  <c r="E11" i="1"/>
  <c r="E12" i="1"/>
  <c r="E13" i="1"/>
  <c r="E10" i="1"/>
  <c r="C17" i="1"/>
  <c r="C18" i="1"/>
  <c r="C19" i="1"/>
  <c r="C16" i="1"/>
  <c r="C12" i="1"/>
  <c r="C13" i="1"/>
  <c r="C11" i="1"/>
  <c r="C10" i="1"/>
  <c r="C3" i="1"/>
  <c r="C4" i="1"/>
  <c r="C5" i="1"/>
  <c r="C2" i="1"/>
  <c r="B6" i="1"/>
  <c r="H3" i="1"/>
  <c r="H4" i="1"/>
  <c r="H5" i="1"/>
  <c r="H2" i="1"/>
</calcChain>
</file>

<file path=xl/sharedStrings.xml><?xml version="1.0" encoding="utf-8"?>
<sst xmlns="http://schemas.openxmlformats.org/spreadsheetml/2006/main" count="32" uniqueCount="16">
  <si>
    <t>Store</t>
  </si>
  <si>
    <t>e_nom_opt</t>
  </si>
  <si>
    <t>BO 0 battery</t>
  </si>
  <si>
    <t>BO 1 battery</t>
  </si>
  <si>
    <t>BO 2 battery</t>
  </si>
  <si>
    <t>BO 3 battery</t>
  </si>
  <si>
    <t>ZONE</t>
  </si>
  <si>
    <t>OR</t>
  </si>
  <si>
    <t>NO</t>
  </si>
  <si>
    <t>SU</t>
  </si>
  <si>
    <t>CE</t>
  </si>
  <si>
    <t>%</t>
  </si>
  <si>
    <t>Pumped hydro</t>
  </si>
  <si>
    <t>STORAGE CAPACITY</t>
  </si>
  <si>
    <t>Batteries</t>
  </si>
  <si>
    <t>POWER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</si>
</sst>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G14" sqref="G14"/>
    </sheetView>
  </sheetViews>
  <sheetFormatPr baseColWidth="10" defaultColWidth="8.88671875" defaultRowHeight="14.4" x14ac:dyDescent="0.3"/>
  <cols>
    <col min="1" max="1" width="13.6640625" customWidth="1"/>
    <col min="2" max="2" width="12.21875" customWidth="1"/>
  </cols>
  <sheetData>
    <row r="1" spans="1:8" x14ac:dyDescent="0.3">
      <c r="A1" s="1" t="s">
        <v>0</v>
      </c>
      <c r="B1" s="1" t="s">
        <v>1</v>
      </c>
      <c r="C1" t="s">
        <v>11</v>
      </c>
      <c r="D1" t="s">
        <v>0</v>
      </c>
      <c r="E1" t="s">
        <v>1</v>
      </c>
      <c r="F1" s="2" t="s">
        <v>6</v>
      </c>
    </row>
    <row r="2" spans="1:8" x14ac:dyDescent="0.3">
      <c r="A2" s="1" t="s">
        <v>2</v>
      </c>
      <c r="B2">
        <v>1532.1729442559499</v>
      </c>
      <c r="C2">
        <f>B2*100/$B$6</f>
        <v>2.5510605319517219</v>
      </c>
      <c r="D2" t="s">
        <v>2</v>
      </c>
      <c r="E2" s="2">
        <v>36.431769000000003</v>
      </c>
      <c r="F2" s="2" t="s">
        <v>7</v>
      </c>
      <c r="H2">
        <f>B2-E2</f>
        <v>1495.7411752559499</v>
      </c>
    </row>
    <row r="3" spans="1:8" x14ac:dyDescent="0.3">
      <c r="A3" s="1" t="s">
        <v>3</v>
      </c>
      <c r="B3">
        <v>2150.0269723750812</v>
      </c>
      <c r="C3">
        <f t="shared" ref="C3:C5" si="0">B3*100/$B$6</f>
        <v>3.5797844965349279</v>
      </c>
      <c r="D3" t="s">
        <v>3</v>
      </c>
      <c r="E3" s="2">
        <v>717.99555350000003</v>
      </c>
      <c r="F3" s="2" t="s">
        <v>8</v>
      </c>
      <c r="H3">
        <f t="shared" ref="H3:H5" si="1">B3-E3</f>
        <v>1432.0314188750813</v>
      </c>
    </row>
    <row r="4" spans="1:8" x14ac:dyDescent="0.3">
      <c r="A4" s="1" t="s">
        <v>4</v>
      </c>
      <c r="B4">
        <v>18995.41569166338</v>
      </c>
      <c r="C4">
        <f t="shared" si="0"/>
        <v>31.627275132802414</v>
      </c>
      <c r="D4" t="s">
        <v>4</v>
      </c>
      <c r="E4" s="2">
        <v>1853.181906</v>
      </c>
      <c r="F4" s="2" t="s">
        <v>9</v>
      </c>
      <c r="H4">
        <f t="shared" si="1"/>
        <v>17142.233785663379</v>
      </c>
    </row>
    <row r="5" spans="1:8" x14ac:dyDescent="0.3">
      <c r="A5" s="1" t="s">
        <v>5</v>
      </c>
      <c r="B5">
        <v>37382.619147630459</v>
      </c>
      <c r="C5">
        <f t="shared" si="0"/>
        <v>62.241879838710929</v>
      </c>
      <c r="D5" t="s">
        <v>5</v>
      </c>
      <c r="E5" s="2">
        <v>4631.3906660000002</v>
      </c>
      <c r="F5" s="2" t="s">
        <v>10</v>
      </c>
      <c r="H5">
        <f t="shared" si="1"/>
        <v>32751.22848163046</v>
      </c>
    </row>
    <row r="6" spans="1:8" x14ac:dyDescent="0.3">
      <c r="B6">
        <f>SUM(B2:B5)</f>
        <v>60060.234755924874</v>
      </c>
    </row>
    <row r="9" spans="1:8" x14ac:dyDescent="0.3">
      <c r="A9" s="3" t="s">
        <v>12</v>
      </c>
      <c r="B9" s="3">
        <v>56710.740080000003</v>
      </c>
      <c r="C9" t="s">
        <v>13</v>
      </c>
      <c r="E9" t="s">
        <v>15</v>
      </c>
    </row>
    <row r="10" spans="1:8" x14ac:dyDescent="0.3">
      <c r="A10" t="s">
        <v>7</v>
      </c>
      <c r="B10">
        <v>2.5510605319517219</v>
      </c>
      <c r="C10">
        <f>B10*$B$9/100</f>
        <v>1446.7253075586063</v>
      </c>
      <c r="E10">
        <f>C10/10</f>
        <v>144.67253075586063</v>
      </c>
    </row>
    <row r="11" spans="1:8" x14ac:dyDescent="0.3">
      <c r="A11" t="s">
        <v>8</v>
      </c>
      <c r="B11">
        <v>3.5797844965349279</v>
      </c>
      <c r="C11">
        <f>B11*$B$9/100</f>
        <v>2030.1222812540595</v>
      </c>
      <c r="E11">
        <f t="shared" ref="E11:E13" si="2">C11/10</f>
        <v>203.01222812540595</v>
      </c>
    </row>
    <row r="12" spans="1:8" x14ac:dyDescent="0.3">
      <c r="A12" t="s">
        <v>9</v>
      </c>
      <c r="B12">
        <v>31.627275132802414</v>
      </c>
      <c r="C12">
        <f>B12*$B$9/100</f>
        <v>17936.061794950052</v>
      </c>
      <c r="E12">
        <f t="shared" si="2"/>
        <v>1793.6061794950051</v>
      </c>
    </row>
    <row r="13" spans="1:8" x14ac:dyDescent="0.3">
      <c r="A13" t="s">
        <v>10</v>
      </c>
      <c r="B13">
        <v>62.241879838710929</v>
      </c>
      <c r="C13">
        <f>B13*$B$9/100</f>
        <v>35297.830696237281</v>
      </c>
      <c r="E13">
        <f t="shared" si="2"/>
        <v>3529.7830696237279</v>
      </c>
    </row>
    <row r="14" spans="1:8" x14ac:dyDescent="0.3">
      <c r="E14">
        <f>SUM(E10:E13)</f>
        <v>5671.0740079999996</v>
      </c>
    </row>
    <row r="15" spans="1:8" x14ac:dyDescent="0.3">
      <c r="A15" t="s">
        <v>14</v>
      </c>
      <c r="B15">
        <v>3349.301137764</v>
      </c>
      <c r="C15" t="s">
        <v>13</v>
      </c>
      <c r="E15" t="s">
        <v>15</v>
      </c>
    </row>
    <row r="16" spans="1:8" x14ac:dyDescent="0.3">
      <c r="A16" t="s">
        <v>7</v>
      </c>
      <c r="B16">
        <v>2.5510605319517219</v>
      </c>
      <c r="C16">
        <f>B16*$B$15/100</f>
        <v>85.44269942170736</v>
      </c>
      <c r="E16">
        <f>C16/8</f>
        <v>10.68033742771342</v>
      </c>
    </row>
    <row r="17" spans="1:5" x14ac:dyDescent="0.3">
      <c r="A17" t="s">
        <v>8</v>
      </c>
      <c r="B17">
        <v>3.5797844965349279</v>
      </c>
      <c r="C17">
        <f t="shared" ref="C17:C19" si="3">B17*$B$15/100</f>
        <v>119.89776287194361</v>
      </c>
      <c r="E17">
        <f t="shared" ref="E17:E19" si="4">C17/8</f>
        <v>14.987220358992952</v>
      </c>
    </row>
    <row r="18" spans="1:5" x14ac:dyDescent="0.3">
      <c r="A18" t="s">
        <v>9</v>
      </c>
      <c r="B18">
        <v>31.627275132802414</v>
      </c>
      <c r="C18">
        <f t="shared" si="3"/>
        <v>1059.292685866702</v>
      </c>
      <c r="E18">
        <f t="shared" si="4"/>
        <v>132.41158573333774</v>
      </c>
    </row>
    <row r="19" spans="1:5" x14ac:dyDescent="0.3">
      <c r="A19" t="s">
        <v>10</v>
      </c>
      <c r="B19">
        <v>62.241879838710929</v>
      </c>
      <c r="C19">
        <f t="shared" si="3"/>
        <v>2084.6679896036467</v>
      </c>
      <c r="E19">
        <f t="shared" si="4"/>
        <v>260.58349870045583</v>
      </c>
    </row>
    <row r="20" spans="1:5" x14ac:dyDescent="0.3">
      <c r="E20">
        <f>SUM(E16:E19)</f>
        <v>418.66264222049995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Navia Orellana</cp:lastModifiedBy>
  <dcterms:created xsi:type="dcterms:W3CDTF">2024-11-29T14:57:53Z</dcterms:created>
  <dcterms:modified xsi:type="dcterms:W3CDTF">2025-04-08T13:35:25Z</dcterms:modified>
</cp:coreProperties>
</file>