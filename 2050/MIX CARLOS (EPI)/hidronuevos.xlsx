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via\Documents\DISPASET MODELS\10. TESMEP\"/>
    </mc:Choice>
  </mc:AlternateContent>
  <xr:revisionPtr revIDLastSave="0" documentId="13_ncr:1_{6D98E68C-DB60-461A-AA00-75A201A8077F}" xr6:coauthVersionLast="47" xr6:coauthVersionMax="47" xr10:uidLastSave="{00000000-0000-0000-0000-000000000000}"/>
  <bookViews>
    <workbookView xWindow="-108" yWindow="-108" windowWidth="23256" windowHeight="12576" xr2:uid="{80C64DD7-8EAF-45BD-BE8B-B298AE0507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1" l="1"/>
  <c r="W3" i="1"/>
  <c r="W4" i="1"/>
  <c r="W5" i="1"/>
  <c r="V3" i="1"/>
  <c r="V4" i="1"/>
  <c r="V5" i="1"/>
  <c r="V2" i="1"/>
  <c r="W2" i="1" s="1"/>
</calcChain>
</file>

<file path=xl/sharedStrings.xml><?xml version="1.0" encoding="utf-8"?>
<sst xmlns="http://schemas.openxmlformats.org/spreadsheetml/2006/main" count="59" uniqueCount="45">
  <si>
    <t>CAR</t>
  </si>
  <si>
    <t>hydro</t>
  </si>
  <si>
    <t>Reservoir</t>
  </si>
  <si>
    <t>PP</t>
  </si>
  <si>
    <t>BO</t>
  </si>
  <si>
    <t>Carrizal</t>
  </si>
  <si>
    <t>ROS</t>
  </si>
  <si>
    <t>Rositas</t>
  </si>
  <si>
    <t>ICL</t>
  </si>
  <si>
    <t>Run-Of-River</t>
  </si>
  <si>
    <t>Icla</t>
  </si>
  <si>
    <t>MAR</t>
  </si>
  <si>
    <t>id</t>
  </si>
  <si>
    <t>Name</t>
  </si>
  <si>
    <t>Fueltype</t>
  </si>
  <si>
    <t>Technology</t>
  </si>
  <si>
    <t>Set</t>
  </si>
  <si>
    <t>Country</t>
  </si>
  <si>
    <t>Capacity</t>
  </si>
  <si>
    <t>Efficiency</t>
  </si>
  <si>
    <t>DateIn</t>
  </si>
  <si>
    <t>DateRetrofit</t>
  </si>
  <si>
    <t>DateOut</t>
  </si>
  <si>
    <t>lat</t>
  </si>
  <si>
    <t>lon</t>
  </si>
  <si>
    <t>StorageCapacity_MWh</t>
  </si>
  <si>
    <t>EIC</t>
  </si>
  <si>
    <t>projectID</t>
  </si>
  <si>
    <t>Zone</t>
  </si>
  <si>
    <t>SU</t>
  </si>
  <si>
    <t>INFORMACION NUEVA</t>
  </si>
  <si>
    <t>OR</t>
  </si>
  <si>
    <t>Embalse Hm3</t>
  </si>
  <si>
    <t>Ciudad</t>
  </si>
  <si>
    <t>Tarija</t>
  </si>
  <si>
    <t>Santa Cruz</t>
  </si>
  <si>
    <t>Referencia</t>
  </si>
  <si>
    <t>https://es.mongabay.com/2021/06/bolivia-polemico-megaproyecto-hidroelectrico-el-carrizal/ 
https://www.ende.bo/noticia/noticia/30</t>
  </si>
  <si>
    <t>https://es.mongabay.com/2020/01/hidroelectrica-rositas-indigenas-y-ambientalistas-temen-reactivacion-de-polemico-proyecto/ 
https://www.la-razon.com/financiero/2013/03/24/proyecto-hidroelectrico-rositas-precisa-un-embalse-de-2409-km2-2/
https://fundacionsolon.org/wp-content/uploads/2018/04/proyecto_rio_grande-rositas_red.pdf</t>
  </si>
  <si>
    <t>https://www.ende.bo/public/memorias/memoria1979.pdf</t>
  </si>
  <si>
    <t>Sucre y Potosi</t>
  </si>
  <si>
    <t>Caudales m3/s</t>
  </si>
  <si>
    <t>Margarita</t>
  </si>
  <si>
    <t>.FPMed. MW/m3/s</t>
  </si>
  <si>
    <t>STO MWh/u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</si>
</sst>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547BB-72F2-42E1-9ECF-8A402942BD8D}">
  <dimension ref="A1:W9"/>
  <sheetViews>
    <sheetView tabSelected="1" zoomScale="98" workbookViewId="0">
      <pane xSplit="2" ySplit="1" topLeftCell="Q2" activePane="bottomRight" state="frozen"/>
      <selection pane="topRight" activeCell="C1" sqref="C1"/>
      <selection pane="bottomLeft" activeCell="A2" sqref="A2"/>
      <selection pane="bottomRight" activeCell="V10" sqref="V10"/>
    </sheetView>
  </sheetViews>
  <sheetFormatPr baseColWidth="10" defaultRowHeight="14.4" x14ac:dyDescent="0.3"/>
  <cols>
    <col min="17" max="17" width="82.21875" customWidth="1"/>
    <col min="20" max="20" width="13.88671875" customWidth="1"/>
    <col min="22" max="22" width="18.6640625" customWidth="1"/>
  </cols>
  <sheetData>
    <row r="1" spans="1:23" x14ac:dyDescent="0.3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s="1" t="s">
        <v>36</v>
      </c>
      <c r="R1" s="1" t="s">
        <v>28</v>
      </c>
      <c r="S1" s="1" t="s">
        <v>33</v>
      </c>
      <c r="T1" s="1" t="s">
        <v>32</v>
      </c>
      <c r="U1" s="1" t="s">
        <v>41</v>
      </c>
      <c r="V1" s="1" t="s">
        <v>43</v>
      </c>
      <c r="W1" s="1" t="s">
        <v>44</v>
      </c>
    </row>
    <row r="2" spans="1:23" ht="28.8" x14ac:dyDescent="0.3">
      <c r="A2">
        <v>121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>
        <v>346</v>
      </c>
      <c r="I2">
        <v>2035</v>
      </c>
      <c r="J2">
        <v>2035</v>
      </c>
      <c r="K2">
        <v>2135</v>
      </c>
      <c r="L2">
        <v>-21.14</v>
      </c>
      <c r="M2">
        <v>-65.12</v>
      </c>
      <c r="N2">
        <v>0</v>
      </c>
      <c r="P2" t="s">
        <v>5</v>
      </c>
      <c r="Q2" s="2" t="s">
        <v>37</v>
      </c>
      <c r="R2" s="1" t="s">
        <v>29</v>
      </c>
      <c r="S2" s="1" t="s">
        <v>34</v>
      </c>
      <c r="T2" s="1">
        <v>1334</v>
      </c>
      <c r="U2" s="1">
        <f>51*3</f>
        <v>153</v>
      </c>
      <c r="V2" s="1">
        <f>G2/U2</f>
        <v>2.261437908496732</v>
      </c>
      <c r="W2" s="1">
        <f>V2*T2*10000/36</f>
        <v>837988.38053740014</v>
      </c>
    </row>
    <row r="3" spans="1:23" ht="72" x14ac:dyDescent="0.3">
      <c r="A3">
        <v>122</v>
      </c>
      <c r="B3" t="s">
        <v>6</v>
      </c>
      <c r="C3" t="s">
        <v>1</v>
      </c>
      <c r="D3" t="s">
        <v>2</v>
      </c>
      <c r="E3" t="s">
        <v>3</v>
      </c>
      <c r="F3" t="s">
        <v>4</v>
      </c>
      <c r="G3">
        <v>400</v>
      </c>
      <c r="I3">
        <v>2035</v>
      </c>
      <c r="J3">
        <v>2035</v>
      </c>
      <c r="K3">
        <v>2135</v>
      </c>
      <c r="L3">
        <v>-18.54</v>
      </c>
      <c r="M3">
        <v>-63.24</v>
      </c>
      <c r="N3">
        <v>0</v>
      </c>
      <c r="P3" t="s">
        <v>7</v>
      </c>
      <c r="Q3" s="2" t="s">
        <v>38</v>
      </c>
      <c r="R3" s="1" t="s">
        <v>31</v>
      </c>
      <c r="S3" s="1" t="s">
        <v>35</v>
      </c>
      <c r="T3" s="1">
        <v>7300</v>
      </c>
      <c r="U3" s="1">
        <v>440</v>
      </c>
      <c r="V3" s="1">
        <f t="shared" ref="V3:V5" si="0">G3/U3</f>
        <v>0.90909090909090906</v>
      </c>
      <c r="W3" s="1">
        <f t="shared" ref="W3:W5" si="1">V3*T3*10000/36</f>
        <v>1843434.3434343433</v>
      </c>
    </row>
    <row r="4" spans="1:23" x14ac:dyDescent="0.3">
      <c r="A4">
        <v>123</v>
      </c>
      <c r="B4" t="s">
        <v>8</v>
      </c>
      <c r="C4" t="s">
        <v>1</v>
      </c>
      <c r="D4" t="s">
        <v>9</v>
      </c>
      <c r="E4" t="s">
        <v>3</v>
      </c>
      <c r="F4" t="s">
        <v>4</v>
      </c>
      <c r="G4">
        <v>102</v>
      </c>
      <c r="I4">
        <v>2035</v>
      </c>
      <c r="J4">
        <v>2035</v>
      </c>
      <c r="K4">
        <v>2135</v>
      </c>
      <c r="L4">
        <v>-19.36</v>
      </c>
      <c r="M4">
        <v>-64.790000000000006</v>
      </c>
      <c r="N4">
        <v>0</v>
      </c>
      <c r="P4" t="s">
        <v>10</v>
      </c>
      <c r="Q4" s="1" t="s">
        <v>39</v>
      </c>
      <c r="R4" s="1" t="s">
        <v>29</v>
      </c>
      <c r="S4" s="1" t="s">
        <v>40</v>
      </c>
      <c r="T4" s="1">
        <v>1490</v>
      </c>
      <c r="U4" s="1">
        <v>110</v>
      </c>
      <c r="V4" s="1">
        <f t="shared" si="0"/>
        <v>0.92727272727272725</v>
      </c>
      <c r="W4" s="1">
        <f t="shared" si="1"/>
        <v>383787.87878787873</v>
      </c>
    </row>
    <row r="5" spans="1:23" x14ac:dyDescent="0.3">
      <c r="A5">
        <v>124</v>
      </c>
      <c r="B5" t="s">
        <v>11</v>
      </c>
      <c r="C5" t="s">
        <v>1</v>
      </c>
      <c r="D5" t="s">
        <v>9</v>
      </c>
      <c r="E5" t="s">
        <v>3</v>
      </c>
      <c r="F5" t="s">
        <v>4</v>
      </c>
      <c r="G5">
        <v>150</v>
      </c>
      <c r="I5">
        <v>2035</v>
      </c>
      <c r="J5">
        <v>2035</v>
      </c>
      <c r="K5">
        <v>2135</v>
      </c>
      <c r="L5">
        <v>-21.54</v>
      </c>
      <c r="M5">
        <v>-64.73</v>
      </c>
      <c r="N5">
        <v>0</v>
      </c>
      <c r="P5" t="s">
        <v>42</v>
      </c>
      <c r="Q5" s="1"/>
      <c r="R5" s="1" t="s">
        <v>31</v>
      </c>
      <c r="S5" s="1" t="s">
        <v>35</v>
      </c>
      <c r="T5" s="1">
        <v>1500</v>
      </c>
      <c r="U5" s="1">
        <v>145</v>
      </c>
      <c r="V5" s="1">
        <f t="shared" si="0"/>
        <v>1.0344827586206897</v>
      </c>
      <c r="W5" s="1">
        <f t="shared" si="1"/>
        <v>431034.48275862075</v>
      </c>
    </row>
    <row r="9" spans="1:23" x14ac:dyDescent="0.3">
      <c r="B9" s="1"/>
      <c r="C9" t="s">
        <v>30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Antonio Navia Orellana</dc:creator>
  <cp:lastModifiedBy>Marco Antonio Navia Orellana</cp:lastModifiedBy>
  <dcterms:created xsi:type="dcterms:W3CDTF">2024-11-02T15:25:08Z</dcterms:created>
  <dcterms:modified xsi:type="dcterms:W3CDTF">2024-11-03T15:07:14Z</dcterms:modified>
</cp:coreProperties>
</file>